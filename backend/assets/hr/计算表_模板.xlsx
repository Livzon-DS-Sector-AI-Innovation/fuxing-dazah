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E87F" lockStructure="1"/>
  <bookViews>
    <workbookView windowWidth="28040" windowHeight="12160"/>
  </bookViews>
  <sheets>
    <sheet name="盐酸万古霉素冻干粉USP计算表" sheetId="1" r:id="rId1"/>
  </sheets>
  <definedNames>
    <definedName name="_xlnm.Print_Area" localSheetId="0">盐酸万古霉素冻干粉USP计算表!$A$1:$M$81</definedName>
    <definedName name="_xlnm._FilterDatabase" localSheetId="0" hidden="1">盐酸万古霉素冻干粉USP计算表!$A$1:$M$81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<sst xmlns="http://schemas.openxmlformats.org/spreadsheetml/2006/main" count="293" uniqueCount="85">
  <si>
    <r>
      <t xml:space="preserve">                              </t>
    </r>
    <r>
      <rPr>
        <b/>
        <sz val="18"/>
        <rFont val="宋体"/>
        <charset val="134"/>
      </rPr>
      <t>盐酸万古霉素</t>
    </r>
    <r>
      <rPr>
        <b/>
        <sz val="18"/>
        <rFont val="Times New Roman"/>
        <charset val="1"/>
      </rPr>
      <t>USP</t>
    </r>
    <r>
      <rPr>
        <b/>
        <sz val="18"/>
        <rFont val="宋体"/>
        <charset val="134"/>
      </rPr>
      <t>含量与有关物质</t>
    </r>
    <r>
      <rPr>
        <b/>
        <sz val="18"/>
        <rFont val="宋体"/>
        <charset val="134"/>
      </rPr>
      <t>计算表</t>
    </r>
    <r>
      <rPr>
        <b/>
        <sz val="18"/>
        <rFont val="Times New Roman"/>
        <charset val="1"/>
      </rPr>
      <t xml:space="preserve">            EX-HA-5246-001</t>
    </r>
  </si>
  <si>
    <t>非打印部分</t>
  </si>
  <si>
    <r>
      <rPr>
        <b/>
        <sz val="14"/>
        <rFont val="宋体"/>
        <charset val="134"/>
      </rPr>
      <t>批号：</t>
    </r>
  </si>
  <si>
    <t>HAF2606019A</t>
  </si>
  <si>
    <r>
      <rPr>
        <b/>
        <sz val="14"/>
        <rFont val="宋体"/>
        <charset val="134"/>
      </rPr>
      <t>合格标准</t>
    </r>
  </si>
  <si>
    <r>
      <t>OOT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HAF</t>
    </r>
    <r>
      <rPr>
        <b/>
        <sz val="14"/>
        <rFont val="宋体"/>
        <charset val="134"/>
      </rPr>
      <t>）</t>
    </r>
  </si>
  <si>
    <r>
      <t>OOT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HAA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</si>
  <si>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供试液</t>
    </r>
  </si>
  <si>
    <r>
      <rPr>
        <b/>
        <sz val="14"/>
        <rFont val="宋体"/>
        <charset val="134"/>
      </rPr>
      <t>峰面积项</t>
    </r>
  </si>
  <si>
    <r>
      <rPr>
        <b/>
        <sz val="14"/>
        <rFont val="宋体"/>
        <charset val="134"/>
      </rPr>
      <t>第一份</t>
    </r>
  </si>
  <si>
    <r>
      <rPr>
        <b/>
        <sz val="14"/>
        <rFont val="宋体"/>
        <charset val="134"/>
      </rPr>
      <t>第二份</t>
    </r>
  </si>
  <si>
    <t>万古霉素B</t>
  </si>
  <si>
    <r>
      <rPr>
        <b/>
        <sz val="14"/>
        <rFont val="宋体"/>
        <charset val="134"/>
      </rPr>
      <t>供试液</t>
    </r>
    <r>
      <rPr>
        <b/>
        <sz val="14"/>
        <rFont val="Times New Roman"/>
        <charset val="1"/>
      </rPr>
      <t>A</t>
    </r>
  </si>
  <si>
    <r>
      <rPr>
        <b/>
        <sz val="14"/>
        <rFont val="宋体"/>
        <charset val="134"/>
      </rPr>
      <t>总峰面积</t>
    </r>
  </si>
  <si>
    <r>
      <rPr>
        <b/>
        <sz val="14"/>
        <rFont val="宋体"/>
        <charset val="134"/>
      </rPr>
      <t>主峰面积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</si>
  <si>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A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</si>
  <si>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RS1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RS1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</si>
  <si>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B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</si>
  <si>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RS2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RS2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</si>
  <si>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C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</si>
  <si>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RS3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RS3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</si>
  <si>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D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</si>
  <si>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RS4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RS4</t>
    </r>
    <r>
      <rPr>
        <b/>
        <sz val="14"/>
        <rFont val="宋体"/>
        <charset val="134"/>
      </rPr>
      <t>）</t>
    </r>
  </si>
  <si>
    <t>RS1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</si>
  <si>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B1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B1</t>
    </r>
    <r>
      <rPr>
        <b/>
        <sz val="14"/>
        <rFont val="宋体"/>
        <charset val="134"/>
      </rPr>
      <t>）</t>
    </r>
  </si>
  <si>
    <t>RS2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</si>
  <si>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A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A</t>
    </r>
    <r>
      <rPr>
        <b/>
        <sz val="14"/>
        <rFont val="宋体"/>
        <charset val="134"/>
      </rPr>
      <t>）</t>
    </r>
  </si>
  <si>
    <t>RS3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</si>
  <si>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RS5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RS5</t>
    </r>
    <r>
      <rPr>
        <b/>
        <sz val="14"/>
        <rFont val="宋体"/>
        <charset val="134"/>
      </rPr>
      <t>）</t>
    </r>
  </si>
  <si>
    <t>RS4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</si>
  <si>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RS6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RS6</t>
    </r>
    <r>
      <rPr>
        <b/>
        <sz val="14"/>
        <rFont val="宋体"/>
        <charset val="134"/>
      </rPr>
      <t>）</t>
    </r>
  </si>
  <si>
    <t>RS5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</si>
  <si>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RS7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RS7</t>
    </r>
    <r>
      <rPr>
        <b/>
        <sz val="14"/>
        <rFont val="宋体"/>
        <charset val="134"/>
      </rPr>
      <t>）</t>
    </r>
  </si>
  <si>
    <t>RS6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</si>
  <si>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B2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B2</t>
    </r>
    <r>
      <rPr>
        <b/>
        <sz val="14"/>
        <rFont val="宋体"/>
        <charset val="134"/>
      </rPr>
      <t>）</t>
    </r>
  </si>
  <si>
    <t>RS7</t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</si>
  <si>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D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D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</si>
  <si>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任何未知杂质</t>
    </r>
  </si>
  <si>
    <r>
      <rPr>
        <b/>
        <sz val="14"/>
        <rFont val="宋体"/>
        <charset val="134"/>
      </rPr>
      <t>杂质</t>
    </r>
    <r>
      <rPr>
        <b/>
        <sz val="14"/>
        <rFont val="Times New Roman"/>
        <charset val="1"/>
      </rPr>
      <t>C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"/>
      </rPr>
      <t>A</t>
    </r>
    <r>
      <rPr>
        <b/>
        <vertAlign val="subscript"/>
        <sz val="14"/>
        <rFont val="Times New Roman"/>
        <charset val="1"/>
      </rPr>
      <t>C</t>
    </r>
    <r>
      <rPr>
        <b/>
        <sz val="14"/>
        <rFont val="宋体"/>
        <charset val="134"/>
      </rPr>
      <t>）</t>
    </r>
  </si>
  <si>
    <t>总杂质</t>
  </si>
  <si>
    <r>
      <rPr>
        <b/>
        <sz val="14"/>
        <rFont val="宋体"/>
        <charset val="134"/>
      </rPr>
      <t>杂质总峰面积（</t>
    </r>
    <r>
      <rPr>
        <b/>
        <sz val="14"/>
        <rFont val="Times New Roman"/>
        <charset val="1"/>
      </rPr>
      <t>At</t>
    </r>
    <r>
      <rPr>
        <b/>
        <sz val="14"/>
        <rFont val="宋体"/>
        <charset val="134"/>
      </rPr>
      <t>）</t>
    </r>
  </si>
  <si>
    <r>
      <rPr>
        <b/>
        <sz val="14"/>
        <rFont val="宋体"/>
        <charset val="134"/>
      </rPr>
      <t>任何未知杂质（</t>
    </r>
    <r>
      <rPr>
        <b/>
        <sz val="14"/>
        <rFont val="Times New Roman"/>
        <charset val="1"/>
      </rPr>
      <t>Ax</t>
    </r>
    <r>
      <rPr>
        <b/>
        <sz val="14"/>
        <rFont val="宋体"/>
        <charset val="134"/>
      </rPr>
      <t>）</t>
    </r>
  </si>
  <si>
    <t>注意：1、如果出现蓝色字体，则为超趋势；2、如果出现红色字体，则不符合标准</t>
  </si>
  <si>
    <r>
      <rPr>
        <b/>
        <sz val="14"/>
        <rFont val="宋体"/>
        <charset val="134"/>
      </rPr>
      <t>供试液</t>
    </r>
    <r>
      <rPr>
        <b/>
        <sz val="14"/>
        <rFont val="Times New Roman"/>
        <charset val="1"/>
      </rPr>
      <t>B</t>
    </r>
  </si>
  <si>
    <r>
      <rPr>
        <b/>
        <sz val="14"/>
        <rFont val="宋体"/>
        <charset val="134"/>
      </rPr>
      <t>主峰面积（</t>
    </r>
    <r>
      <rPr>
        <b/>
        <sz val="14"/>
        <rFont val="Times New Roman"/>
        <charset val="1"/>
      </rPr>
      <t>Ab</t>
    </r>
    <r>
      <rPr>
        <b/>
        <sz val="14"/>
        <rFont val="宋体"/>
        <charset val="134"/>
      </rPr>
      <t>）</t>
    </r>
  </si>
  <si>
    <r>
      <t>Vancomycin B</t>
    </r>
    <r>
      <rPr>
        <b/>
        <sz val="12"/>
        <rFont val="宋体"/>
        <charset val="134"/>
      </rPr>
      <t>％</t>
    </r>
  </si>
  <si>
    <r>
      <rPr>
        <b/>
        <sz val="12"/>
        <rFont val="宋体"/>
        <charset val="134"/>
      </rPr>
      <t>第一份＝</t>
    </r>
  </si>
  <si>
    <r>
      <t>25×A</t>
    </r>
    <r>
      <rPr>
        <b/>
        <vertAlign val="subscript"/>
        <sz val="12"/>
        <rFont val="Times New Roman"/>
        <charset val="1"/>
      </rPr>
      <t>b</t>
    </r>
  </si>
  <si>
    <t>×100%</t>
  </si>
  <si>
    <r>
      <rPr>
        <b/>
        <sz val="12"/>
        <rFont val="宋体"/>
        <charset val="134"/>
      </rPr>
      <t>＝</t>
    </r>
  </si>
  <si>
    <t>×</t>
  </si>
  <si>
    <r>
      <t>25×A</t>
    </r>
    <r>
      <rPr>
        <b/>
        <vertAlign val="subscript"/>
        <sz val="12"/>
        <rFont val="Times New Roman"/>
        <charset val="1"/>
      </rPr>
      <t>b</t>
    </r>
    <r>
      <rPr>
        <b/>
        <sz val="12"/>
        <rFont val="Times New Roman"/>
        <charset val="1"/>
      </rPr>
      <t>+A</t>
    </r>
    <r>
      <rPr>
        <b/>
        <vertAlign val="subscript"/>
        <sz val="12"/>
        <rFont val="Times New Roman"/>
        <charset val="1"/>
      </rPr>
      <t>t</t>
    </r>
  </si>
  <si>
    <r>
      <rPr>
        <b/>
        <sz val="12"/>
        <rFont val="宋体"/>
        <charset val="134"/>
      </rPr>
      <t>＋</t>
    </r>
  </si>
  <si>
    <r>
      <rPr>
        <b/>
        <sz val="12"/>
        <rFont val="宋体"/>
        <charset val="134"/>
      </rPr>
      <t>第二份＝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</si>
  <si>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RS1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</si>
  <si>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RS1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</si>
  <si>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RS2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</si>
  <si>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RS2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</si>
  <si>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RS3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</si>
  <si>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RS3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</si>
  <si>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RS4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</si>
  <si>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RS4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</si>
  <si>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B1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</si>
  <si>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B1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</si>
  <si>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A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</si>
  <si>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A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</si>
  <si>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RS5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</si>
  <si>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RS5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</si>
  <si>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RS6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</si>
  <si>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RS6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</si>
  <si>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RS7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</si>
  <si>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RS7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</si>
  <si>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B2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</si>
  <si>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B2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</si>
  <si>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D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</si>
  <si>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D</t>
    </r>
  </si>
  <si>
    <r>
      <rPr>
        <b/>
        <sz val="12"/>
        <rFont val="宋体"/>
        <charset val="134"/>
      </rPr>
      <t>杂质</t>
    </r>
    <r>
      <rPr>
        <b/>
        <sz val="12"/>
        <rFont val="Times New Roman"/>
        <charset val="1"/>
      </rPr>
      <t>C</t>
    </r>
    <r>
      <rPr>
        <b/>
        <sz val="12"/>
        <rFont val="宋体"/>
        <charset val="134"/>
      </rPr>
      <t>％</t>
    </r>
  </si>
  <si>
    <r>
      <t>A</t>
    </r>
    <r>
      <rPr>
        <b/>
        <vertAlign val="subscript"/>
        <sz val="12"/>
        <rFont val="Times New Roman"/>
        <charset val="1"/>
      </rPr>
      <t>C</t>
    </r>
  </si>
  <si>
    <t>任何未知杂质％</t>
  </si>
  <si>
    <r>
      <t>A</t>
    </r>
    <r>
      <rPr>
        <b/>
        <vertAlign val="subscript"/>
        <sz val="12"/>
        <rFont val="Times New Roman"/>
        <charset val="1"/>
      </rPr>
      <t>X</t>
    </r>
  </si>
  <si>
    <r>
      <rPr>
        <b/>
        <sz val="12"/>
        <rFont val="宋体"/>
        <charset val="134"/>
      </rPr>
      <t>总杂质％</t>
    </r>
  </si>
  <si>
    <t>1  -  Vb</t>
  </si>
  <si>
    <t>-</t>
  </si>
  <si>
    <r>
      <rPr>
        <b/>
        <sz val="14"/>
        <rFont val="宋体"/>
        <charset val="134"/>
      </rPr>
      <t>检验人：</t>
    </r>
    <r>
      <rPr>
        <b/>
        <sz val="14"/>
        <rFont val="Times New Roman"/>
        <charset val="1"/>
      </rPr>
      <t xml:space="preserve">                                        </t>
    </r>
    <r>
      <rPr>
        <b/>
        <sz val="14"/>
        <rFont val="宋体"/>
        <charset val="134"/>
      </rPr>
      <t>年</t>
    </r>
    <r>
      <rPr>
        <b/>
        <sz val="14"/>
        <rFont val="Times New Roman"/>
        <charset val="1"/>
      </rPr>
      <t xml:space="preserve">                   </t>
    </r>
    <r>
      <rPr>
        <b/>
        <sz val="14"/>
        <rFont val="宋体"/>
        <charset val="134"/>
      </rPr>
      <t>月</t>
    </r>
    <r>
      <rPr>
        <b/>
        <sz val="14"/>
        <rFont val="Times New Roman"/>
        <charset val="1"/>
      </rPr>
      <t xml:space="preserve">                   </t>
    </r>
    <r>
      <rPr>
        <b/>
        <sz val="14"/>
        <rFont val="宋体"/>
        <charset val="134"/>
      </rPr>
      <t>日</t>
    </r>
  </si>
  <si>
    <r>
      <rPr>
        <b/>
        <sz val="14"/>
        <rFont val="宋体"/>
        <charset val="134"/>
      </rPr>
      <t>复核人：</t>
    </r>
    <r>
      <rPr>
        <b/>
        <sz val="14"/>
        <rFont val="Times New Roman"/>
        <charset val="1"/>
      </rPr>
      <t xml:space="preserve">                                                          </t>
    </r>
    <r>
      <rPr>
        <b/>
        <sz val="14"/>
        <rFont val="宋体"/>
        <charset val="134"/>
      </rPr>
      <t>年</t>
    </r>
    <r>
      <rPr>
        <b/>
        <sz val="14"/>
        <rFont val="Times New Roman"/>
        <charset val="1"/>
      </rPr>
      <t xml:space="preserve">                      </t>
    </r>
    <r>
      <rPr>
        <b/>
        <sz val="14"/>
        <rFont val="宋体"/>
        <charset val="134"/>
      </rPr>
      <t>月</t>
    </r>
    <r>
      <rPr>
        <b/>
        <sz val="14"/>
        <rFont val="Times New Roman"/>
        <charset val="1"/>
      </rPr>
      <t xml:space="preserve">                  </t>
    </r>
    <r>
      <rPr>
        <b/>
        <sz val="14"/>
        <rFont val="宋体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</si>
</sst>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%"/>
    <numFmt numFmtId="179" formatCode="0.0000%"/>
    <numFmt numFmtId="180" formatCode="0.0%"/>
  </numFmts>
  <fonts count="32">
    <font>
      <sz val="12"/>
      <name val="宋体"/>
      <charset val="134"/>
    </font>
    <font>
      <b/>
      <sz val="18"/>
      <name val="Times New Roman"/>
      <charset val="1"/>
    </font>
    <font>
      <b/>
      <sz val="14"/>
      <name val="Times New Roman"/>
      <charset val="1"/>
    </font>
    <font>
      <b/>
      <sz val="20"/>
      <name val="Times New Roman"/>
      <charset val="1"/>
    </font>
    <font>
      <b/>
      <sz val="12"/>
      <name val="Times New Roman"/>
      <charset val="1"/>
    </font>
    <font>
      <b/>
      <sz val="11"/>
      <color theme="1"/>
      <name val="Times New Roman"/>
      <charset val="1"/>
    </font>
    <font>
      <b/>
      <sz val="11"/>
      <color theme="1"/>
      <name val="宋体"/>
      <charset val="134"/>
    </font>
    <font>
      <b/>
      <sz val="12"/>
      <name val="宋体"/>
      <charset val="134"/>
    </font>
    <font>
      <sz val="12"/>
      <color indexed="1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14"/>
      <name val="宋体"/>
      <charset val="134"/>
    </font>
    <font>
      <b/>
      <vertAlign val="subscript"/>
      <sz val="14"/>
      <name val="Times New Roman"/>
      <charset val="1"/>
    </font>
    <font>
      <b/>
      <vertAlign val="subscript"/>
      <sz val="12"/>
      <name val="Times New Roman"/>
      <charset val="1"/>
    </font>
    <font>
      <b/>
      <sz val="18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3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</cellStyleXfs>
  <cellXfs count="79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top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 wrapText="1"/>
    </xf>
    <xf numFmtId="176" fontId="2" fillId="0" borderId="1" xfId="0" applyNumberFormat="1" applyFont="1" applyFill="1" applyBorder="1" applyAlignment="1" applyProtection="1">
      <alignment horizontal="center" vertical="center"/>
    </xf>
    <xf numFmtId="176" fontId="2" fillId="0" borderId="2" xfId="0" applyNumberFormat="1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2" borderId="2" xfId="0" applyNumberFormat="1" applyFont="1" applyFill="1" applyBorder="1" applyAlignment="1" applyProtection="1">
      <alignment horizontal="center" vertical="center"/>
      <protection locked="0"/>
    </xf>
    <xf numFmtId="177" fontId="2" fillId="0" borderId="1" xfId="0" applyNumberFormat="1" applyFont="1" applyFill="1" applyBorder="1" applyAlignment="1" applyProtection="1">
      <alignment horizontal="center" vertical="center"/>
    </xf>
    <xf numFmtId="177" fontId="2" fillId="0" borderId="2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176" fontId="4" fillId="0" borderId="2" xfId="0" applyNumberFormat="1" applyFont="1" applyFill="1" applyBorder="1" applyAlignment="1" applyProtection="1">
      <alignment vertical="center"/>
    </xf>
    <xf numFmtId="176" fontId="4" fillId="0" borderId="2" xfId="0" applyNumberFormat="1" applyFont="1" applyFill="1" applyBorder="1" applyAlignment="1" applyProtection="1">
      <alignment horizontal="center" vertical="center"/>
    </xf>
    <xf numFmtId="176" fontId="2" fillId="0" borderId="11" xfId="0" applyNumberFormat="1" applyFont="1" applyFill="1" applyBorder="1" applyAlignment="1" applyProtection="1">
      <alignment horizontal="center" vertical="center"/>
    </xf>
    <xf numFmtId="177" fontId="2" fillId="2" borderId="11" xfId="0" applyNumberFormat="1" applyFont="1" applyFill="1" applyBorder="1" applyAlignment="1" applyProtection="1">
      <alignment horizontal="center" vertical="center"/>
      <protection locked="0"/>
    </xf>
    <xf numFmtId="177" fontId="2" fillId="0" borderId="11" xfId="0" applyNumberFormat="1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10" fontId="4" fillId="0" borderId="8" xfId="0" applyNumberFormat="1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10" fontId="4" fillId="0" borderId="10" xfId="0" applyNumberFormat="1" applyFont="1" applyFill="1" applyBorder="1" applyAlignment="1" applyProtection="1">
      <alignment horizontal="center" vertical="center"/>
    </xf>
    <xf numFmtId="178" fontId="4" fillId="0" borderId="8" xfId="0" applyNumberFormat="1" applyFont="1" applyFill="1" applyBorder="1" applyAlignment="1" applyProtection="1">
      <alignment horizontal="center" vertical="center"/>
    </xf>
    <xf numFmtId="178" fontId="4" fillId="0" borderId="10" xfId="0" applyNumberFormat="1" applyFont="1" applyFill="1" applyBorder="1" applyAlignment="1" applyProtection="1">
      <alignment horizontal="center" vertical="center"/>
    </xf>
    <xf numFmtId="179" fontId="4" fillId="0" borderId="8" xfId="0" applyNumberFormat="1" applyFont="1" applyFill="1" applyBorder="1" applyAlignment="1" applyProtection="1">
      <alignment horizontal="center" vertical="center"/>
    </xf>
    <xf numFmtId="179" fontId="4" fillId="0" borderId="10" xfId="0" applyNumberFormat="1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5" fillId="0" borderId="3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180" fontId="2" fillId="0" borderId="3" xfId="0" applyNumberFormat="1" applyFont="1" applyFill="1" applyBorder="1" applyAlignment="1" applyProtection="1">
      <alignment horizontal="center" vertical="center"/>
    </xf>
    <xf numFmtId="10" fontId="2" fillId="0" borderId="3" xfId="0" applyNumberFormat="1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 wrapText="1"/>
    </xf>
    <xf numFmtId="180" fontId="2" fillId="0" borderId="4" xfId="0" applyNumberFormat="1" applyFont="1" applyFill="1" applyBorder="1" applyAlignment="1" applyProtection="1">
      <alignment horizontal="center" vertical="center"/>
    </xf>
    <xf numFmtId="180" fontId="2" fillId="0" borderId="6" xfId="0" applyNumberFormat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 wrapText="1"/>
    </xf>
    <xf numFmtId="180" fontId="4" fillId="0" borderId="4" xfId="0" applyNumberFormat="1" applyFont="1" applyFill="1" applyBorder="1" applyAlignment="1" applyProtection="1">
      <alignment horizontal="center" vertical="center"/>
    </xf>
    <xf numFmtId="180" fontId="4" fillId="0" borderId="5" xfId="0" applyNumberFormat="1" applyFont="1" applyFill="1" applyBorder="1" applyAlignment="1" applyProtection="1">
      <alignment horizontal="center" vertical="center"/>
    </xf>
    <xf numFmtId="0" fontId="0" fillId="0" borderId="0" xfId="0" applyFill="1"/>
    <xf numFmtId="10" fontId="4" fillId="0" borderId="4" xfId="0" applyNumberFormat="1" applyFont="1" applyFill="1" applyBorder="1" applyAlignment="1" applyProtection="1">
      <alignment horizontal="center" vertical="center"/>
    </xf>
    <xf numFmtId="10" fontId="4" fillId="0" borderId="5" xfId="0" applyNumberFormat="1" applyFont="1" applyFill="1" applyBorder="1" applyAlignment="1" applyProtection="1">
      <alignment horizontal="center" vertical="center"/>
    </xf>
    <xf numFmtId="10" fontId="4" fillId="0" borderId="6" xfId="0" applyNumberFormat="1" applyFont="1" applyFill="1" applyBorder="1" applyAlignment="1" applyProtection="1">
      <alignment horizontal="center" vertical="center"/>
    </xf>
    <xf numFmtId="178" fontId="4" fillId="0" borderId="4" xfId="0" applyNumberFormat="1" applyFont="1" applyFill="1" applyBorder="1" applyAlignment="1" applyProtection="1">
      <alignment horizontal="center" vertical="center"/>
    </xf>
    <xf numFmtId="178" fontId="4" fillId="0" borderId="5" xfId="0" applyNumberFormat="1" applyFont="1" applyFill="1" applyBorder="1" applyAlignment="1" applyProtection="1">
      <alignment horizontal="center" vertical="center"/>
    </xf>
    <xf numFmtId="178" fontId="4" fillId="0" borderId="6" xfId="0" applyNumberFormat="1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12" xfId="0" applyFont="1" applyFill="1" applyBorder="1" applyAlignment="1" applyProtection="1">
      <alignment horizontal="right"/>
    </xf>
    <xf numFmtId="176" fontId="8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80" fontId="4" fillId="0" borderId="12" xfId="0" applyNumberFormat="1" applyFont="1" applyFill="1" applyBorder="1" applyAlignment="1" applyProtection="1">
      <alignment horizontal="center" vertical="center"/>
    </xf>
    <xf numFmtId="180" fontId="4" fillId="0" borderId="0" xfId="0" applyNumberFormat="1" applyFont="1" applyFill="1" applyAlignment="1" applyProtection="1">
      <alignment horizontal="center" vertical="center"/>
    </xf>
    <xf numFmtId="180" fontId="4" fillId="0" borderId="13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/>
    </xf>
    <xf numFmtId="180" fontId="4" fillId="0" borderId="8" xfId="0" applyNumberFormat="1" applyFont="1" applyFill="1" applyBorder="1" applyAlignment="1" applyProtection="1">
      <alignment horizontal="center" vertical="center"/>
    </xf>
    <xf numFmtId="180" fontId="4" fillId="0" borderId="15" xfId="0" applyNumberFormat="1" applyFont="1" applyFill="1" applyBorder="1" applyAlignment="1" applyProtection="1">
      <alignment horizontal="center" vertical="center"/>
    </xf>
    <xf numFmtId="180" fontId="4" fillId="0" borderId="1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00FF0000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2"/>
  <sheetViews>
    <sheetView tabSelected="1" zoomScale="115" zoomScaleNormal="115" zoomScaleSheetLayoutView="60" workbookViewId="0">
      <selection activeCell="A1" sqref="A1:M81"/>
    </sheetView>
  </sheetViews>
  <sheetFormatPr defaultColWidth="9" defaultRowHeight="17.6"/>
  <cols>
    <col min="1" max="1" width="18" customWidth="1"/>
    <col min="2" max="2" width="9.875" customWidth="1"/>
    <col min="3" max="3" width="13" customWidth="1"/>
    <col min="4" max="4" width="8.375" customWidth="1"/>
    <col min="5" max="5" width="3.875" customWidth="1"/>
    <col min="6" max="6" width="13.5" customWidth="1"/>
    <col min="7" max="7" width="3.875" customWidth="1"/>
    <col min="8" max="8" width="16.75" customWidth="1"/>
    <col min="9" max="9" width="9.25" customWidth="1"/>
    <col min="10" max="10" width="14.125" customWidth="1"/>
    <col min="11" max="11" width="6.125" customWidth="1"/>
    <col min="12" max="12" width="16.875" customWidth="1"/>
    <col min="13" max="13" width="14.75" customWidth="1"/>
    <col min="15" max="15" width="16.75" customWidth="1"/>
    <col min="17" max="18" width="17.75"/>
  </cols>
  <sheetData>
    <row r="1" ht="37.5" customHeight="1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4"/>
      <c r="O1" s="45" t="s">
        <v>1</v>
      </c>
      <c r="P1" s="45"/>
      <c r="Q1" s="45"/>
      <c r="R1" s="45"/>
    </row>
    <row r="2" ht="21" customHeight="1" spans="1:18">
      <c r="A2" s="3" t="s">
        <v>2</v>
      </c>
      <c r="B2" s="4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46"/>
      <c r="O2" s="12" t="s">
        <v>4</v>
      </c>
      <c r="P2" s="12"/>
      <c r="Q2" s="51" t="s">
        <v>5</v>
      </c>
      <c r="R2" s="51" t="s">
        <v>6</v>
      </c>
    </row>
    <row r="3" ht="19.5" customHeight="1" spans="1:18">
      <c r="A3" s="3" t="s">
        <v>7</v>
      </c>
      <c r="B3" s="6" t="s">
        <v>8</v>
      </c>
      <c r="C3" s="7"/>
      <c r="D3" s="7"/>
      <c r="E3" s="22"/>
      <c r="F3" s="23" t="s">
        <v>9</v>
      </c>
      <c r="G3" s="24"/>
      <c r="H3" s="24"/>
      <c r="I3" s="33"/>
      <c r="J3" s="23" t="s">
        <v>10</v>
      </c>
      <c r="K3" s="24"/>
      <c r="L3" s="24"/>
      <c r="M3" s="33"/>
      <c r="O3" s="3" t="s">
        <v>11</v>
      </c>
      <c r="P3" s="47">
        <v>0.93</v>
      </c>
      <c r="Q3" s="47">
        <v>0.94</v>
      </c>
      <c r="R3" s="47">
        <v>0.94</v>
      </c>
    </row>
    <row r="4" ht="19.5" customHeight="1" spans="1:18">
      <c r="A4" s="8" t="s">
        <v>12</v>
      </c>
      <c r="B4" s="9" t="s">
        <v>13</v>
      </c>
      <c r="C4" s="10"/>
      <c r="D4" s="10"/>
      <c r="E4" s="25"/>
      <c r="F4" s="26">
        <v>26961730</v>
      </c>
      <c r="G4" s="27"/>
      <c r="H4" s="27"/>
      <c r="I4" s="34"/>
      <c r="J4" s="26">
        <v>26974189</v>
      </c>
      <c r="K4" s="27"/>
      <c r="L4" s="27"/>
      <c r="M4" s="34"/>
      <c r="O4" s="3"/>
      <c r="P4" s="47"/>
      <c r="Q4" s="47"/>
      <c r="R4" s="47"/>
    </row>
    <row r="5" ht="15" customHeight="1" spans="1:18">
      <c r="A5" s="11"/>
      <c r="B5" s="9" t="s">
        <v>14</v>
      </c>
      <c r="C5" s="10"/>
      <c r="D5" s="10"/>
      <c r="E5" s="25"/>
      <c r="F5" s="26">
        <v>25774287</v>
      </c>
      <c r="G5" s="27"/>
      <c r="H5" s="27"/>
      <c r="I5" s="34"/>
      <c r="J5" s="26">
        <v>25790550</v>
      </c>
      <c r="K5" s="27"/>
      <c r="L5" s="27"/>
      <c r="M5" s="34"/>
      <c r="O5" s="3" t="s">
        <v>15</v>
      </c>
      <c r="P5" s="47">
        <v>0.03</v>
      </c>
      <c r="Q5" s="47">
        <v>0.02</v>
      </c>
      <c r="R5" s="47">
        <v>0.027</v>
      </c>
    </row>
    <row r="6" ht="15" customHeight="1" spans="1:18">
      <c r="A6" s="11"/>
      <c r="B6" s="9" t="s">
        <v>16</v>
      </c>
      <c r="C6" s="10"/>
      <c r="D6" s="10"/>
      <c r="E6" s="25"/>
      <c r="F6" s="26">
        <v>55229</v>
      </c>
      <c r="G6" s="27"/>
      <c r="H6" s="27"/>
      <c r="I6" s="34"/>
      <c r="J6" s="26">
        <v>55155</v>
      </c>
      <c r="K6" s="27"/>
      <c r="L6" s="27"/>
      <c r="M6" s="34"/>
      <c r="O6" s="3" t="s">
        <v>17</v>
      </c>
      <c r="P6" s="47">
        <v>0.03</v>
      </c>
      <c r="Q6" s="47">
        <v>0.02</v>
      </c>
      <c r="R6" s="47">
        <v>0.027</v>
      </c>
    </row>
    <row r="7" ht="15" customHeight="1" spans="1:18">
      <c r="A7" s="11"/>
      <c r="B7" s="9" t="s">
        <v>18</v>
      </c>
      <c r="C7" s="10"/>
      <c r="D7" s="10"/>
      <c r="E7" s="25"/>
      <c r="F7" s="26">
        <v>86578</v>
      </c>
      <c r="G7" s="27"/>
      <c r="H7" s="27"/>
      <c r="I7" s="34"/>
      <c r="J7" s="26">
        <v>86114</v>
      </c>
      <c r="K7" s="27"/>
      <c r="L7" s="27"/>
      <c r="M7" s="34"/>
      <c r="O7" s="3" t="s">
        <v>19</v>
      </c>
      <c r="P7" s="47">
        <v>0.03</v>
      </c>
      <c r="Q7" s="48">
        <v>0.005</v>
      </c>
      <c r="R7" s="47">
        <v>0.027</v>
      </c>
    </row>
    <row r="8" ht="15" customHeight="1" spans="1:18">
      <c r="A8" s="11"/>
      <c r="B8" s="9" t="s">
        <v>20</v>
      </c>
      <c r="C8" s="10"/>
      <c r="D8" s="10"/>
      <c r="E8" s="25"/>
      <c r="F8" s="26">
        <v>199398</v>
      </c>
      <c r="G8" s="27"/>
      <c r="H8" s="27"/>
      <c r="I8" s="34"/>
      <c r="J8" s="26">
        <v>199295</v>
      </c>
      <c r="K8" s="27"/>
      <c r="L8" s="27"/>
      <c r="M8" s="34"/>
      <c r="O8" s="3" t="s">
        <v>21</v>
      </c>
      <c r="P8" s="47">
        <v>0.03</v>
      </c>
      <c r="Q8" s="47">
        <v>0.01</v>
      </c>
      <c r="R8" s="47">
        <v>0.027</v>
      </c>
    </row>
    <row r="9" ht="15" customHeight="1" spans="1:18">
      <c r="A9" s="11"/>
      <c r="B9" s="9" t="s">
        <v>22</v>
      </c>
      <c r="C9" s="10"/>
      <c r="D9" s="10"/>
      <c r="E9" s="25"/>
      <c r="F9" s="26">
        <v>108358</v>
      </c>
      <c r="G9" s="27"/>
      <c r="H9" s="27"/>
      <c r="I9" s="34"/>
      <c r="J9" s="26">
        <v>107616</v>
      </c>
      <c r="K9" s="27"/>
      <c r="L9" s="27"/>
      <c r="M9" s="34"/>
      <c r="O9" s="3" t="s">
        <v>23</v>
      </c>
      <c r="P9" s="48">
        <v>0.0035</v>
      </c>
      <c r="Q9" s="48">
        <v>0.003</v>
      </c>
      <c r="R9" s="48">
        <v>0.0032</v>
      </c>
    </row>
    <row r="10" ht="15" customHeight="1" spans="1:18">
      <c r="A10" s="11"/>
      <c r="B10" s="9" t="s">
        <v>24</v>
      </c>
      <c r="C10" s="10"/>
      <c r="D10" s="10"/>
      <c r="E10" s="25"/>
      <c r="F10" s="26">
        <v>99902</v>
      </c>
      <c r="G10" s="27"/>
      <c r="H10" s="27"/>
      <c r="I10" s="34"/>
      <c r="J10" s="26">
        <v>100031</v>
      </c>
      <c r="K10" s="27"/>
      <c r="L10" s="27"/>
      <c r="M10" s="34"/>
      <c r="O10" s="3" t="s">
        <v>25</v>
      </c>
      <c r="P10" s="47">
        <v>0.012</v>
      </c>
      <c r="Q10" s="48">
        <v>0.008</v>
      </c>
      <c r="R10" s="47">
        <v>0.011</v>
      </c>
    </row>
    <row r="11" ht="15" customHeight="1" spans="1:18">
      <c r="A11" s="11"/>
      <c r="B11" s="9" t="s">
        <v>26</v>
      </c>
      <c r="C11" s="10"/>
      <c r="D11" s="10"/>
      <c r="E11" s="25"/>
      <c r="F11" s="26">
        <v>175686</v>
      </c>
      <c r="G11" s="27"/>
      <c r="H11" s="27"/>
      <c r="I11" s="34"/>
      <c r="J11" s="26">
        <v>176102</v>
      </c>
      <c r="K11" s="27"/>
      <c r="L11" s="27"/>
      <c r="M11" s="34"/>
      <c r="O11" s="3" t="s">
        <v>27</v>
      </c>
      <c r="P11" s="47">
        <v>0.013</v>
      </c>
      <c r="Q11" s="47">
        <v>0.012</v>
      </c>
      <c r="R11" s="47">
        <v>0.012</v>
      </c>
    </row>
    <row r="12" ht="15" customHeight="1" spans="1:18">
      <c r="A12" s="11"/>
      <c r="B12" s="9" t="s">
        <v>28</v>
      </c>
      <c r="C12" s="10"/>
      <c r="D12" s="10"/>
      <c r="E12" s="25"/>
      <c r="F12" s="26">
        <v>51918</v>
      </c>
      <c r="G12" s="27"/>
      <c r="H12" s="27"/>
      <c r="I12" s="34"/>
      <c r="J12" s="26">
        <v>49662</v>
      </c>
      <c r="K12" s="27"/>
      <c r="L12" s="27"/>
      <c r="M12" s="34"/>
      <c r="O12" s="3" t="s">
        <v>29</v>
      </c>
      <c r="P12" s="48">
        <v>0.0075</v>
      </c>
      <c r="Q12" s="48">
        <v>0.007</v>
      </c>
      <c r="R12" s="48">
        <v>0.011</v>
      </c>
    </row>
    <row r="13" ht="15" customHeight="1" spans="1:18">
      <c r="A13" s="11"/>
      <c r="B13" s="9" t="s">
        <v>30</v>
      </c>
      <c r="C13" s="10"/>
      <c r="D13" s="10"/>
      <c r="E13" s="25"/>
      <c r="F13" s="26">
        <v>108001</v>
      </c>
      <c r="G13" s="27"/>
      <c r="H13" s="27"/>
      <c r="I13" s="34"/>
      <c r="J13" s="26">
        <v>108097</v>
      </c>
      <c r="K13" s="27"/>
      <c r="L13" s="27"/>
      <c r="M13" s="34"/>
      <c r="O13" s="3" t="s">
        <v>31</v>
      </c>
      <c r="P13" s="48">
        <v>0.0045</v>
      </c>
      <c r="Q13" s="48">
        <v>0.0044</v>
      </c>
      <c r="R13" s="48">
        <v>0.0054</v>
      </c>
    </row>
    <row r="14" ht="15" customHeight="1" spans="1:18">
      <c r="A14" s="11"/>
      <c r="B14" s="9" t="s">
        <v>32</v>
      </c>
      <c r="C14" s="10"/>
      <c r="D14" s="10"/>
      <c r="E14" s="25"/>
      <c r="F14" s="26">
        <v>114787</v>
      </c>
      <c r="G14" s="27"/>
      <c r="H14" s="27"/>
      <c r="I14" s="34"/>
      <c r="J14" s="26">
        <v>114792</v>
      </c>
      <c r="K14" s="27"/>
      <c r="L14" s="27"/>
      <c r="M14" s="34"/>
      <c r="O14" s="3" t="s">
        <v>33</v>
      </c>
      <c r="P14" s="47">
        <v>0.014</v>
      </c>
      <c r="Q14" s="47">
        <v>0.01</v>
      </c>
      <c r="R14" s="47">
        <v>0.013</v>
      </c>
    </row>
    <row r="15" ht="17.25" customHeight="1" spans="1:18">
      <c r="A15" s="11"/>
      <c r="B15" s="9" t="s">
        <v>34</v>
      </c>
      <c r="C15" s="10"/>
      <c r="D15" s="10"/>
      <c r="E15" s="25"/>
      <c r="F15" s="26">
        <v>16087</v>
      </c>
      <c r="G15" s="27"/>
      <c r="H15" s="27"/>
      <c r="I15" s="34"/>
      <c r="J15" s="26">
        <v>16016</v>
      </c>
      <c r="K15" s="27"/>
      <c r="L15" s="27"/>
      <c r="M15" s="34"/>
      <c r="O15" s="3" t="s">
        <v>35</v>
      </c>
      <c r="P15" s="48">
        <v>0.009</v>
      </c>
      <c r="Q15" s="48">
        <v>0.008</v>
      </c>
      <c r="R15" s="48">
        <v>0.0081</v>
      </c>
    </row>
    <row r="16" ht="18.75" customHeight="1" spans="1:18">
      <c r="A16" s="11"/>
      <c r="B16" s="9" t="s">
        <v>36</v>
      </c>
      <c r="C16" s="10"/>
      <c r="D16" s="10"/>
      <c r="E16" s="25"/>
      <c r="F16" s="26">
        <v>38334</v>
      </c>
      <c r="G16" s="27"/>
      <c r="H16" s="27"/>
      <c r="I16" s="34"/>
      <c r="J16" s="26">
        <v>38203</v>
      </c>
      <c r="K16" s="27"/>
      <c r="L16" s="27"/>
      <c r="M16" s="34"/>
      <c r="O16" s="49" t="s">
        <v>37</v>
      </c>
      <c r="P16" s="48">
        <v>0.005</v>
      </c>
      <c r="Q16" s="48">
        <v>0.004</v>
      </c>
      <c r="R16" s="48">
        <v>0.0045</v>
      </c>
    </row>
    <row r="17" ht="15" customHeight="1" spans="1:18">
      <c r="A17" s="11"/>
      <c r="B17" s="9" t="s">
        <v>38</v>
      </c>
      <c r="C17" s="10"/>
      <c r="D17" s="10"/>
      <c r="E17" s="25"/>
      <c r="F17" s="26">
        <v>13075</v>
      </c>
      <c r="G17" s="27"/>
      <c r="H17" s="27"/>
      <c r="I17" s="34"/>
      <c r="J17" s="26">
        <v>13004</v>
      </c>
      <c r="K17" s="27"/>
      <c r="L17" s="27"/>
      <c r="M17" s="34"/>
      <c r="O17" s="3" t="s">
        <v>39</v>
      </c>
      <c r="P17" s="50">
        <v>0.07</v>
      </c>
      <c r="Q17" s="48"/>
      <c r="R17" s="48"/>
    </row>
    <row r="18" ht="15" customHeight="1" spans="1:18">
      <c r="A18" s="11"/>
      <c r="B18" s="9" t="s">
        <v>40</v>
      </c>
      <c r="C18" s="10"/>
      <c r="D18" s="10"/>
      <c r="E18" s="25"/>
      <c r="F18" s="28">
        <f>F4-F5</f>
        <v>1187443</v>
      </c>
      <c r="G18" s="29"/>
      <c r="H18" s="29"/>
      <c r="I18" s="35"/>
      <c r="J18" s="28">
        <f>J4-J5</f>
        <v>1183639</v>
      </c>
      <c r="K18" s="29"/>
      <c r="L18" s="29"/>
      <c r="M18" s="35"/>
      <c r="O18" s="3"/>
      <c r="P18" s="51"/>
      <c r="Q18" s="47">
        <v>0.06</v>
      </c>
      <c r="R18" s="47">
        <v>0.063</v>
      </c>
    </row>
    <row r="19" ht="15" customHeight="1" spans="1:18">
      <c r="A19" s="12"/>
      <c r="B19" s="9" t="s">
        <v>41</v>
      </c>
      <c r="C19" s="10"/>
      <c r="D19" s="10"/>
      <c r="E19" s="25"/>
      <c r="F19" s="26">
        <v>48257</v>
      </c>
      <c r="G19" s="27"/>
      <c r="H19" s="27"/>
      <c r="I19" s="34"/>
      <c r="J19" s="26">
        <v>48922</v>
      </c>
      <c r="K19" s="27"/>
      <c r="L19" s="27"/>
      <c r="M19" s="34"/>
      <c r="O19" s="52" t="s">
        <v>42</v>
      </c>
      <c r="P19" s="52"/>
      <c r="Q19" s="52"/>
      <c r="R19" s="52"/>
    </row>
    <row r="20" ht="15" customHeight="1" spans="1:18">
      <c r="A20" s="3" t="s">
        <v>43</v>
      </c>
      <c r="B20" s="9" t="s">
        <v>44</v>
      </c>
      <c r="C20" s="10"/>
      <c r="D20" s="10"/>
      <c r="E20" s="25"/>
      <c r="F20" s="26">
        <v>1039129</v>
      </c>
      <c r="G20" s="27"/>
      <c r="H20" s="27"/>
      <c r="I20" s="34"/>
      <c r="J20" s="26">
        <v>1040166</v>
      </c>
      <c r="K20" s="27"/>
      <c r="L20" s="27"/>
      <c r="M20" s="34"/>
      <c r="O20" s="52"/>
      <c r="P20" s="52"/>
      <c r="Q20" s="52"/>
      <c r="R20" s="52"/>
    </row>
    <row r="21" ht="15" customHeight="1" spans="1:18">
      <c r="A21" s="13" t="s">
        <v>45</v>
      </c>
      <c r="B21" s="14" t="s">
        <v>46</v>
      </c>
      <c r="C21" s="15" t="s">
        <v>47</v>
      </c>
      <c r="D21" s="16" t="s">
        <v>48</v>
      </c>
      <c r="E21" s="14" t="s">
        <v>49</v>
      </c>
      <c r="F21" s="30">
        <v>25</v>
      </c>
      <c r="G21" s="30"/>
      <c r="H21" s="31" t="s">
        <v>50</v>
      </c>
      <c r="I21" s="32">
        <f>F20</f>
        <v>1039129</v>
      </c>
      <c r="J21" s="32"/>
      <c r="K21" s="36" t="s">
        <v>49</v>
      </c>
      <c r="L21" s="37">
        <f>F21*I21/(F22*H22+J22)</f>
        <v>0.9563</v>
      </c>
      <c r="M21" s="53">
        <f>(L21+L23)/2</f>
        <v>0.956</v>
      </c>
      <c r="O21" s="52"/>
      <c r="P21" s="52"/>
      <c r="Q21" s="52"/>
      <c r="R21" s="52"/>
    </row>
    <row r="22" ht="16.5" customHeight="1" spans="1:18">
      <c r="A22" s="17"/>
      <c r="B22" s="18"/>
      <c r="C22" s="19" t="s">
        <v>51</v>
      </c>
      <c r="D22" s="20"/>
      <c r="E22" s="18"/>
      <c r="F22" s="30">
        <v>25</v>
      </c>
      <c r="G22" s="31" t="s">
        <v>50</v>
      </c>
      <c r="H22" s="32">
        <f>$F$20</f>
        <v>1039129</v>
      </c>
      <c r="I22" s="30" t="s">
        <v>52</v>
      </c>
      <c r="J22" s="32">
        <f>$F$18</f>
        <v>1187443</v>
      </c>
      <c r="K22" s="38"/>
      <c r="L22" s="39"/>
      <c r="M22" s="54"/>
      <c r="O22" s="52"/>
      <c r="P22" s="52"/>
      <c r="Q22" s="52"/>
      <c r="R22" s="52"/>
    </row>
    <row r="23" ht="15" customHeight="1" spans="1:17">
      <c r="A23" s="17"/>
      <c r="B23" s="14" t="s">
        <v>53</v>
      </c>
      <c r="C23" s="15" t="s">
        <v>47</v>
      </c>
      <c r="D23" s="16" t="s">
        <v>48</v>
      </c>
      <c r="E23" s="14" t="s">
        <v>49</v>
      </c>
      <c r="F23" s="30">
        <v>25</v>
      </c>
      <c r="G23" s="30"/>
      <c r="H23" s="31" t="s">
        <v>50</v>
      </c>
      <c r="I23" s="32">
        <f>J20</f>
        <v>1040166</v>
      </c>
      <c r="J23" s="32"/>
      <c r="K23" s="36" t="s">
        <v>49</v>
      </c>
      <c r="L23" s="37">
        <f>F23*I23/(F24*H24+J24)</f>
        <v>0.9565</v>
      </c>
      <c r="M23" s="17"/>
      <c r="O23" s="55"/>
      <c r="P23" s="55"/>
      <c r="Q23" s="55"/>
    </row>
    <row r="24" ht="17.25" customHeight="1" spans="1:13">
      <c r="A24" s="21"/>
      <c r="B24" s="18"/>
      <c r="C24" s="19" t="s">
        <v>51</v>
      </c>
      <c r="D24" s="20"/>
      <c r="E24" s="18"/>
      <c r="F24" s="30">
        <v>25</v>
      </c>
      <c r="G24" s="31" t="s">
        <v>50</v>
      </c>
      <c r="H24" s="32">
        <f>$J$20</f>
        <v>1040166</v>
      </c>
      <c r="I24" s="30" t="s">
        <v>52</v>
      </c>
      <c r="J24" s="32">
        <f>$J$18</f>
        <v>1183639</v>
      </c>
      <c r="K24" s="38"/>
      <c r="L24" s="39"/>
      <c r="M24" s="21"/>
    </row>
    <row r="25" ht="15" customHeight="1" spans="1:13">
      <c r="A25" s="13" t="s">
        <v>54</v>
      </c>
      <c r="B25" s="14" t="s">
        <v>46</v>
      </c>
      <c r="C25" s="15" t="s">
        <v>55</v>
      </c>
      <c r="D25" s="16" t="s">
        <v>48</v>
      </c>
      <c r="E25" s="14" t="s">
        <v>49</v>
      </c>
      <c r="F25" s="32"/>
      <c r="G25" s="32"/>
      <c r="H25" s="32">
        <f>F6</f>
        <v>55229</v>
      </c>
      <c r="I25" s="30"/>
      <c r="J25" s="30"/>
      <c r="K25" s="36" t="s">
        <v>49</v>
      </c>
      <c r="L25" s="40">
        <f>H25/(F26*H26+J26)</f>
        <v>0.00203</v>
      </c>
      <c r="M25" s="56">
        <f>(L25+L27)/2</f>
        <v>0.002</v>
      </c>
    </row>
    <row r="26" ht="17.25" customHeight="1" spans="1:13">
      <c r="A26" s="17"/>
      <c r="B26" s="18"/>
      <c r="C26" s="19" t="s">
        <v>51</v>
      </c>
      <c r="D26" s="20"/>
      <c r="E26" s="18"/>
      <c r="F26" s="30">
        <v>25</v>
      </c>
      <c r="G26" s="31" t="s">
        <v>50</v>
      </c>
      <c r="H26" s="32">
        <f>$F$20</f>
        <v>1039129</v>
      </c>
      <c r="I26" s="30" t="s">
        <v>52</v>
      </c>
      <c r="J26" s="32">
        <f>$F$18</f>
        <v>1187443</v>
      </c>
      <c r="K26" s="38"/>
      <c r="L26" s="41"/>
      <c r="M26" s="57"/>
    </row>
    <row r="27" ht="15" customHeight="1" spans="1:13">
      <c r="A27" s="17"/>
      <c r="B27" s="14" t="s">
        <v>53</v>
      </c>
      <c r="C27" s="15" t="s">
        <v>55</v>
      </c>
      <c r="D27" s="16" t="s">
        <v>48</v>
      </c>
      <c r="E27" s="14" t="s">
        <v>49</v>
      </c>
      <c r="F27" s="32"/>
      <c r="G27" s="32"/>
      <c r="H27" s="32">
        <f>J6</f>
        <v>55155</v>
      </c>
      <c r="I27" s="30"/>
      <c r="J27" s="30"/>
      <c r="K27" s="36" t="s">
        <v>49</v>
      </c>
      <c r="L27" s="40">
        <f>H27/(F28*H28+J28)</f>
        <v>0.00203</v>
      </c>
      <c r="M27" s="57"/>
    </row>
    <row r="28" ht="17.25" customHeight="1" spans="1:13">
      <c r="A28" s="21"/>
      <c r="B28" s="18"/>
      <c r="C28" s="19" t="s">
        <v>51</v>
      </c>
      <c r="D28" s="20"/>
      <c r="E28" s="18"/>
      <c r="F28" s="30">
        <v>25</v>
      </c>
      <c r="G28" s="31" t="s">
        <v>50</v>
      </c>
      <c r="H28" s="32">
        <f>$J$20</f>
        <v>1040166</v>
      </c>
      <c r="I28" s="30" t="s">
        <v>52</v>
      </c>
      <c r="J28" s="32">
        <f>$J$18</f>
        <v>1183639</v>
      </c>
      <c r="K28" s="38"/>
      <c r="L28" s="41"/>
      <c r="M28" s="58"/>
    </row>
    <row r="29" ht="15" customHeight="1" spans="1:13">
      <c r="A29" s="13" t="s">
        <v>56</v>
      </c>
      <c r="B29" s="14" t="s">
        <v>46</v>
      </c>
      <c r="C29" s="15" t="s">
        <v>57</v>
      </c>
      <c r="D29" s="16" t="s">
        <v>48</v>
      </c>
      <c r="E29" s="14" t="s">
        <v>49</v>
      </c>
      <c r="F29" s="32"/>
      <c r="G29" s="32"/>
      <c r="H29" s="32">
        <f>F7</f>
        <v>86578</v>
      </c>
      <c r="I29" s="30"/>
      <c r="J29" s="30"/>
      <c r="K29" s="36" t="s">
        <v>49</v>
      </c>
      <c r="L29" s="40">
        <f>H29/(F30*H30+J30)</f>
        <v>0.00319</v>
      </c>
      <c r="M29" s="56">
        <f>(L29+L31)/2</f>
        <v>0.0032</v>
      </c>
    </row>
    <row r="30" ht="18" customHeight="1" spans="1:13">
      <c r="A30" s="17"/>
      <c r="B30" s="18"/>
      <c r="C30" s="19" t="s">
        <v>51</v>
      </c>
      <c r="D30" s="20"/>
      <c r="E30" s="18"/>
      <c r="F30" s="30">
        <v>25</v>
      </c>
      <c r="G30" s="31" t="s">
        <v>50</v>
      </c>
      <c r="H30" s="32">
        <f>$F$20</f>
        <v>1039129</v>
      </c>
      <c r="I30" s="30" t="s">
        <v>52</v>
      </c>
      <c r="J30" s="32">
        <f>$F$18</f>
        <v>1187443</v>
      </c>
      <c r="K30" s="38"/>
      <c r="L30" s="41"/>
      <c r="M30" s="57"/>
    </row>
    <row r="31" ht="15" customHeight="1" spans="1:13">
      <c r="A31" s="17"/>
      <c r="B31" s="14" t="s">
        <v>53</v>
      </c>
      <c r="C31" s="15" t="s">
        <v>57</v>
      </c>
      <c r="D31" s="16" t="s">
        <v>48</v>
      </c>
      <c r="E31" s="14" t="s">
        <v>49</v>
      </c>
      <c r="F31" s="32"/>
      <c r="G31" s="32"/>
      <c r="H31" s="32">
        <f>J7</f>
        <v>86114</v>
      </c>
      <c r="I31" s="30"/>
      <c r="J31" s="30"/>
      <c r="K31" s="36" t="s">
        <v>49</v>
      </c>
      <c r="L31" s="40">
        <f>H31/(F32*H32+J32)</f>
        <v>0.00317</v>
      </c>
      <c r="M31" s="57"/>
    </row>
    <row r="32" ht="17.25" customHeight="1" spans="1:13">
      <c r="A32" s="21"/>
      <c r="B32" s="18"/>
      <c r="C32" s="19" t="s">
        <v>51</v>
      </c>
      <c r="D32" s="20"/>
      <c r="E32" s="18"/>
      <c r="F32" s="30">
        <v>25</v>
      </c>
      <c r="G32" s="31" t="s">
        <v>50</v>
      </c>
      <c r="H32" s="32">
        <f>$J$20</f>
        <v>1040166</v>
      </c>
      <c r="I32" s="30" t="s">
        <v>52</v>
      </c>
      <c r="J32" s="32">
        <f>$J$18</f>
        <v>1183639</v>
      </c>
      <c r="K32" s="38"/>
      <c r="L32" s="41"/>
      <c r="M32" s="58"/>
    </row>
    <row r="33" ht="15" customHeight="1" spans="1:13">
      <c r="A33" s="13" t="s">
        <v>58</v>
      </c>
      <c r="B33" s="14" t="s">
        <v>46</v>
      </c>
      <c r="C33" s="15" t="s">
        <v>59</v>
      </c>
      <c r="D33" s="16" t="s">
        <v>48</v>
      </c>
      <c r="E33" s="14" t="s">
        <v>49</v>
      </c>
      <c r="F33" s="32"/>
      <c r="G33" s="32"/>
      <c r="H33" s="32">
        <f>F8</f>
        <v>199398</v>
      </c>
      <c r="I33" s="30"/>
      <c r="J33" s="30"/>
      <c r="K33" s="36" t="s">
        <v>49</v>
      </c>
      <c r="L33" s="40">
        <f>H33/(F34*H34+J34)</f>
        <v>0.00734</v>
      </c>
      <c r="M33" s="56">
        <f>(L33+L35)/2</f>
        <v>0.0073</v>
      </c>
    </row>
    <row r="34" ht="17.25" customHeight="1" spans="1:13">
      <c r="A34" s="17"/>
      <c r="B34" s="18"/>
      <c r="C34" s="19" t="s">
        <v>51</v>
      </c>
      <c r="D34" s="20"/>
      <c r="E34" s="18"/>
      <c r="F34" s="30">
        <v>25</v>
      </c>
      <c r="G34" s="31" t="s">
        <v>50</v>
      </c>
      <c r="H34" s="32">
        <f>$F$20</f>
        <v>1039129</v>
      </c>
      <c r="I34" s="30" t="s">
        <v>52</v>
      </c>
      <c r="J34" s="32">
        <f>$F$18</f>
        <v>1187443</v>
      </c>
      <c r="K34" s="38"/>
      <c r="L34" s="41"/>
      <c r="M34" s="57"/>
    </row>
    <row r="35" ht="15" customHeight="1" spans="1:13">
      <c r="A35" s="17"/>
      <c r="B35" s="14" t="s">
        <v>53</v>
      </c>
      <c r="C35" s="15" t="s">
        <v>59</v>
      </c>
      <c r="D35" s="16" t="s">
        <v>48</v>
      </c>
      <c r="E35" s="14" t="s">
        <v>49</v>
      </c>
      <c r="F35" s="32"/>
      <c r="G35" s="32"/>
      <c r="H35" s="32">
        <f>J8</f>
        <v>199295</v>
      </c>
      <c r="I35" s="30"/>
      <c r="J35" s="30"/>
      <c r="K35" s="36" t="s">
        <v>49</v>
      </c>
      <c r="L35" s="40">
        <f>H35/(F36*H36+J36)</f>
        <v>0.00733</v>
      </c>
      <c r="M35" s="57"/>
    </row>
    <row r="36" ht="17.25" customHeight="1" spans="1:13">
      <c r="A36" s="21"/>
      <c r="B36" s="18"/>
      <c r="C36" s="19" t="s">
        <v>51</v>
      </c>
      <c r="D36" s="20"/>
      <c r="E36" s="18"/>
      <c r="F36" s="30">
        <v>25</v>
      </c>
      <c r="G36" s="31" t="s">
        <v>50</v>
      </c>
      <c r="H36" s="32">
        <f>$J$20</f>
        <v>1040166</v>
      </c>
      <c r="I36" s="30" t="s">
        <v>52</v>
      </c>
      <c r="J36" s="32">
        <f>$J$18</f>
        <v>1183639</v>
      </c>
      <c r="K36" s="38"/>
      <c r="L36" s="41"/>
      <c r="M36" s="58"/>
    </row>
    <row r="37" ht="15" customHeight="1" spans="1:13">
      <c r="A37" s="13" t="s">
        <v>60</v>
      </c>
      <c r="B37" s="14" t="s">
        <v>46</v>
      </c>
      <c r="C37" s="15" t="s">
        <v>61</v>
      </c>
      <c r="D37" s="16" t="s">
        <v>48</v>
      </c>
      <c r="E37" s="14" t="s">
        <v>49</v>
      </c>
      <c r="F37" s="32"/>
      <c r="G37" s="32"/>
      <c r="H37" s="32">
        <f>F9</f>
        <v>108358</v>
      </c>
      <c r="I37" s="30"/>
      <c r="J37" s="30"/>
      <c r="K37" s="36" t="s">
        <v>49</v>
      </c>
      <c r="L37" s="40">
        <f>H37/(F38*H38+J38)</f>
        <v>0.00399</v>
      </c>
      <c r="M37" s="56">
        <f>(L37+L39)/2</f>
        <v>0.004</v>
      </c>
    </row>
    <row r="38" ht="17.25" customHeight="1" spans="1:13">
      <c r="A38" s="17"/>
      <c r="B38" s="18"/>
      <c r="C38" s="19" t="s">
        <v>51</v>
      </c>
      <c r="D38" s="20"/>
      <c r="E38" s="18"/>
      <c r="F38" s="30">
        <v>25</v>
      </c>
      <c r="G38" s="31" t="s">
        <v>50</v>
      </c>
      <c r="H38" s="32">
        <f>$F$20</f>
        <v>1039129</v>
      </c>
      <c r="I38" s="30" t="s">
        <v>52</v>
      </c>
      <c r="J38" s="32">
        <f>$F$18</f>
        <v>1187443</v>
      </c>
      <c r="K38" s="38"/>
      <c r="L38" s="41"/>
      <c r="M38" s="57"/>
    </row>
    <row r="39" ht="15" customHeight="1" spans="1:13">
      <c r="A39" s="17"/>
      <c r="B39" s="14" t="s">
        <v>53</v>
      </c>
      <c r="C39" s="15" t="s">
        <v>61</v>
      </c>
      <c r="D39" s="16" t="s">
        <v>48</v>
      </c>
      <c r="E39" s="14" t="s">
        <v>49</v>
      </c>
      <c r="F39" s="32"/>
      <c r="G39" s="32"/>
      <c r="H39" s="32">
        <f>J9</f>
        <v>107616</v>
      </c>
      <c r="I39" s="30"/>
      <c r="J39" s="30"/>
      <c r="K39" s="36" t="s">
        <v>49</v>
      </c>
      <c r="L39" s="40">
        <f>H39/(F40*H40+J40)</f>
        <v>0.00396</v>
      </c>
      <c r="M39" s="57"/>
    </row>
    <row r="40" ht="16.5" customHeight="1" spans="1:13">
      <c r="A40" s="21"/>
      <c r="B40" s="18"/>
      <c r="C40" s="19" t="s">
        <v>51</v>
      </c>
      <c r="D40" s="20"/>
      <c r="E40" s="18"/>
      <c r="F40" s="30">
        <v>25</v>
      </c>
      <c r="G40" s="31" t="s">
        <v>50</v>
      </c>
      <c r="H40" s="32">
        <f>$J$20</f>
        <v>1040166</v>
      </c>
      <c r="I40" s="30" t="s">
        <v>52</v>
      </c>
      <c r="J40" s="32">
        <f>$J$18</f>
        <v>1183639</v>
      </c>
      <c r="K40" s="38"/>
      <c r="L40" s="41"/>
      <c r="M40" s="58"/>
    </row>
    <row r="41" ht="15" customHeight="1" spans="1:13">
      <c r="A41" s="13" t="s">
        <v>62</v>
      </c>
      <c r="B41" s="14" t="s">
        <v>46</v>
      </c>
      <c r="C41" s="15" t="s">
        <v>63</v>
      </c>
      <c r="D41" s="16" t="s">
        <v>48</v>
      </c>
      <c r="E41" s="14" t="s">
        <v>49</v>
      </c>
      <c r="F41" s="32"/>
      <c r="G41" s="32"/>
      <c r="H41" s="32">
        <f>F10</f>
        <v>99902</v>
      </c>
      <c r="I41" s="30"/>
      <c r="J41" s="30"/>
      <c r="K41" s="36" t="s">
        <v>49</v>
      </c>
      <c r="L41" s="40">
        <f>H41/(F42*H42+J42)</f>
        <v>0.00368</v>
      </c>
      <c r="M41" s="56">
        <f>(L41+L43)/2</f>
        <v>0.0037</v>
      </c>
    </row>
    <row r="42" ht="17.25" customHeight="1" spans="1:13">
      <c r="A42" s="17"/>
      <c r="B42" s="18"/>
      <c r="C42" s="19" t="s">
        <v>51</v>
      </c>
      <c r="D42" s="20"/>
      <c r="E42" s="18"/>
      <c r="F42" s="30">
        <v>25</v>
      </c>
      <c r="G42" s="31" t="s">
        <v>50</v>
      </c>
      <c r="H42" s="32">
        <f>$F$20</f>
        <v>1039129</v>
      </c>
      <c r="I42" s="30" t="s">
        <v>52</v>
      </c>
      <c r="J42" s="32">
        <f>$F$18</f>
        <v>1187443</v>
      </c>
      <c r="K42" s="38"/>
      <c r="L42" s="41"/>
      <c r="M42" s="57"/>
    </row>
    <row r="43" ht="15" customHeight="1" spans="1:13">
      <c r="A43" s="17"/>
      <c r="B43" s="14" t="s">
        <v>53</v>
      </c>
      <c r="C43" s="15" t="s">
        <v>63</v>
      </c>
      <c r="D43" s="16" t="s">
        <v>48</v>
      </c>
      <c r="E43" s="14" t="s">
        <v>49</v>
      </c>
      <c r="F43" s="32"/>
      <c r="G43" s="32"/>
      <c r="H43" s="32">
        <f>J10</f>
        <v>100031</v>
      </c>
      <c r="I43" s="30"/>
      <c r="J43" s="30"/>
      <c r="K43" s="36" t="s">
        <v>49</v>
      </c>
      <c r="L43" s="40">
        <f>H43/(F44*H44+J44)</f>
        <v>0.00368</v>
      </c>
      <c r="M43" s="57"/>
    </row>
    <row r="44" ht="16.5" customHeight="1" spans="1:13">
      <c r="A44" s="21"/>
      <c r="B44" s="18"/>
      <c r="C44" s="19" t="s">
        <v>51</v>
      </c>
      <c r="D44" s="20"/>
      <c r="E44" s="18"/>
      <c r="F44" s="30">
        <v>25</v>
      </c>
      <c r="G44" s="31" t="s">
        <v>50</v>
      </c>
      <c r="H44" s="32">
        <f>$J$20</f>
        <v>1040166</v>
      </c>
      <c r="I44" s="30" t="s">
        <v>52</v>
      </c>
      <c r="J44" s="32">
        <f>$J$18</f>
        <v>1183639</v>
      </c>
      <c r="K44" s="38"/>
      <c r="L44" s="41"/>
      <c r="M44" s="58"/>
    </row>
    <row r="45" ht="15" customHeight="1" spans="1:13">
      <c r="A45" s="13" t="s">
        <v>64</v>
      </c>
      <c r="B45" s="14" t="s">
        <v>46</v>
      </c>
      <c r="C45" s="15" t="s">
        <v>65</v>
      </c>
      <c r="D45" s="16" t="s">
        <v>48</v>
      </c>
      <c r="E45" s="14" t="s">
        <v>49</v>
      </c>
      <c r="F45" s="32"/>
      <c r="G45" s="32"/>
      <c r="H45" s="32">
        <f>F11</f>
        <v>175686</v>
      </c>
      <c r="I45" s="30"/>
      <c r="J45" s="30"/>
      <c r="K45" s="36" t="s">
        <v>49</v>
      </c>
      <c r="L45" s="40">
        <f>H45/(F46*H46+J46)</f>
        <v>0.00647</v>
      </c>
      <c r="M45" s="56">
        <f>(L45+L47)/2</f>
        <v>0.0065</v>
      </c>
    </row>
    <row r="46" ht="17.25" customHeight="1" spans="1:13">
      <c r="A46" s="17"/>
      <c r="B46" s="18"/>
      <c r="C46" s="19" t="s">
        <v>51</v>
      </c>
      <c r="D46" s="20"/>
      <c r="E46" s="18"/>
      <c r="F46" s="30">
        <v>25</v>
      </c>
      <c r="G46" s="31" t="s">
        <v>50</v>
      </c>
      <c r="H46" s="32">
        <f>$F$20</f>
        <v>1039129</v>
      </c>
      <c r="I46" s="30" t="s">
        <v>52</v>
      </c>
      <c r="J46" s="32">
        <f>$F$18</f>
        <v>1187443</v>
      </c>
      <c r="K46" s="38"/>
      <c r="L46" s="41"/>
      <c r="M46" s="57"/>
    </row>
    <row r="47" ht="15" customHeight="1" spans="1:13">
      <c r="A47" s="17"/>
      <c r="B47" s="14" t="s">
        <v>53</v>
      </c>
      <c r="C47" s="15" t="s">
        <v>65</v>
      </c>
      <c r="D47" s="16" t="s">
        <v>48</v>
      </c>
      <c r="E47" s="14" t="s">
        <v>49</v>
      </c>
      <c r="F47" s="32"/>
      <c r="G47" s="32"/>
      <c r="H47" s="32">
        <f>J11</f>
        <v>176102</v>
      </c>
      <c r="I47" s="30"/>
      <c r="J47" s="30"/>
      <c r="K47" s="36" t="s">
        <v>49</v>
      </c>
      <c r="L47" s="40">
        <f>H47/(F48*H48+J48)</f>
        <v>0.00648</v>
      </c>
      <c r="M47" s="57"/>
    </row>
    <row r="48" ht="17.25" customHeight="1" spans="1:13">
      <c r="A48" s="21"/>
      <c r="B48" s="18"/>
      <c r="C48" s="19" t="s">
        <v>51</v>
      </c>
      <c r="D48" s="20"/>
      <c r="E48" s="18"/>
      <c r="F48" s="30">
        <v>25</v>
      </c>
      <c r="G48" s="31" t="s">
        <v>50</v>
      </c>
      <c r="H48" s="32">
        <f>$J$20</f>
        <v>1040166</v>
      </c>
      <c r="I48" s="30" t="s">
        <v>52</v>
      </c>
      <c r="J48" s="32">
        <f>$J$18</f>
        <v>1183639</v>
      </c>
      <c r="K48" s="38"/>
      <c r="L48" s="41"/>
      <c r="M48" s="58"/>
    </row>
    <row r="49" ht="15" customHeight="1" spans="1:13">
      <c r="A49" s="13" t="s">
        <v>66</v>
      </c>
      <c r="B49" s="14" t="s">
        <v>46</v>
      </c>
      <c r="C49" s="15" t="s">
        <v>67</v>
      </c>
      <c r="D49" s="16" t="s">
        <v>48</v>
      </c>
      <c r="E49" s="14" t="s">
        <v>49</v>
      </c>
      <c r="F49" s="32"/>
      <c r="G49" s="32"/>
      <c r="H49" s="32">
        <f>F12</f>
        <v>51918</v>
      </c>
      <c r="I49" s="30"/>
      <c r="J49" s="30"/>
      <c r="K49" s="36" t="s">
        <v>49</v>
      </c>
      <c r="L49" s="40">
        <f>H49/(F50*H50+J50)</f>
        <v>0.00191</v>
      </c>
      <c r="M49" s="56">
        <f>(L49+L51)/2</f>
        <v>0.0019</v>
      </c>
    </row>
    <row r="50" ht="15" customHeight="1" spans="1:13">
      <c r="A50" s="17"/>
      <c r="B50" s="18"/>
      <c r="C50" s="19" t="s">
        <v>51</v>
      </c>
      <c r="D50" s="20"/>
      <c r="E50" s="18"/>
      <c r="F50" s="30">
        <v>25</v>
      </c>
      <c r="G50" s="31" t="s">
        <v>50</v>
      </c>
      <c r="H50" s="32">
        <f>$F$20</f>
        <v>1039129</v>
      </c>
      <c r="I50" s="30" t="s">
        <v>52</v>
      </c>
      <c r="J50" s="32">
        <f>$F$18</f>
        <v>1187443</v>
      </c>
      <c r="K50" s="38"/>
      <c r="L50" s="41"/>
      <c r="M50" s="57"/>
    </row>
    <row r="51" ht="15" customHeight="1" spans="1:13">
      <c r="A51" s="17"/>
      <c r="B51" s="14" t="s">
        <v>53</v>
      </c>
      <c r="C51" s="15" t="s">
        <v>67</v>
      </c>
      <c r="D51" s="16" t="s">
        <v>48</v>
      </c>
      <c r="E51" s="14" t="s">
        <v>49</v>
      </c>
      <c r="F51" s="32"/>
      <c r="G51" s="32"/>
      <c r="H51" s="32">
        <f>J12</f>
        <v>49662</v>
      </c>
      <c r="I51" s="30"/>
      <c r="J51" s="30"/>
      <c r="K51" s="36" t="s">
        <v>49</v>
      </c>
      <c r="L51" s="40">
        <f>H51/(F52*H52+J52)</f>
        <v>0.00183</v>
      </c>
      <c r="M51" s="57"/>
    </row>
    <row r="52" ht="15" customHeight="1" spans="1:13">
      <c r="A52" s="21"/>
      <c r="B52" s="18"/>
      <c r="C52" s="19" t="s">
        <v>51</v>
      </c>
      <c r="D52" s="20"/>
      <c r="E52" s="18"/>
      <c r="F52" s="30">
        <v>25</v>
      </c>
      <c r="G52" s="31" t="s">
        <v>50</v>
      </c>
      <c r="H52" s="32">
        <f>$J$20</f>
        <v>1040166</v>
      </c>
      <c r="I52" s="30" t="s">
        <v>52</v>
      </c>
      <c r="J52" s="32">
        <f>$J$18</f>
        <v>1183639</v>
      </c>
      <c r="K52" s="38"/>
      <c r="L52" s="41"/>
      <c r="M52" s="58"/>
    </row>
    <row r="53" ht="15" customHeight="1" spans="1:13">
      <c r="A53" s="13" t="s">
        <v>68</v>
      </c>
      <c r="B53" s="14" t="s">
        <v>46</v>
      </c>
      <c r="C53" s="15" t="s">
        <v>69</v>
      </c>
      <c r="D53" s="16" t="s">
        <v>48</v>
      </c>
      <c r="E53" s="14" t="s">
        <v>49</v>
      </c>
      <c r="F53" s="32"/>
      <c r="G53" s="32"/>
      <c r="H53" s="32">
        <f>F13</f>
        <v>108001</v>
      </c>
      <c r="I53" s="30"/>
      <c r="J53" s="30"/>
      <c r="K53" s="36" t="s">
        <v>49</v>
      </c>
      <c r="L53" s="40">
        <f>H53/(F54*H54+J54)</f>
        <v>0.00398</v>
      </c>
      <c r="M53" s="56">
        <f>(L53+L55)/2</f>
        <v>0.004</v>
      </c>
    </row>
    <row r="54" ht="17.25" customHeight="1" spans="1:13">
      <c r="A54" s="17"/>
      <c r="B54" s="18"/>
      <c r="C54" s="19" t="s">
        <v>51</v>
      </c>
      <c r="D54" s="20"/>
      <c r="E54" s="18"/>
      <c r="F54" s="30">
        <v>25</v>
      </c>
      <c r="G54" s="31" t="s">
        <v>50</v>
      </c>
      <c r="H54" s="32">
        <f>$F$20</f>
        <v>1039129</v>
      </c>
      <c r="I54" s="30" t="s">
        <v>52</v>
      </c>
      <c r="J54" s="32">
        <f>$F$18</f>
        <v>1187443</v>
      </c>
      <c r="K54" s="38"/>
      <c r="L54" s="41"/>
      <c r="M54" s="57"/>
    </row>
    <row r="55" ht="15" customHeight="1" spans="1:13">
      <c r="A55" s="17"/>
      <c r="B55" s="14" t="s">
        <v>53</v>
      </c>
      <c r="C55" s="15" t="s">
        <v>69</v>
      </c>
      <c r="D55" s="16" t="s">
        <v>48</v>
      </c>
      <c r="E55" s="14" t="s">
        <v>49</v>
      </c>
      <c r="F55" s="32"/>
      <c r="G55" s="32"/>
      <c r="H55" s="32">
        <f>J13</f>
        <v>108097</v>
      </c>
      <c r="I55" s="30"/>
      <c r="J55" s="30"/>
      <c r="K55" s="36" t="s">
        <v>49</v>
      </c>
      <c r="L55" s="40">
        <f>H55/(F56*H56+J56)</f>
        <v>0.00398</v>
      </c>
      <c r="M55" s="57"/>
    </row>
    <row r="56" ht="17.25" customHeight="1" spans="1:13">
      <c r="A56" s="21"/>
      <c r="B56" s="18"/>
      <c r="C56" s="19" t="s">
        <v>51</v>
      </c>
      <c r="D56" s="20"/>
      <c r="E56" s="18"/>
      <c r="F56" s="30">
        <v>25</v>
      </c>
      <c r="G56" s="31" t="s">
        <v>50</v>
      </c>
      <c r="H56" s="32">
        <f>$J$20</f>
        <v>1040166</v>
      </c>
      <c r="I56" s="30" t="s">
        <v>52</v>
      </c>
      <c r="J56" s="32">
        <f>$J$18</f>
        <v>1183639</v>
      </c>
      <c r="K56" s="38"/>
      <c r="L56" s="41"/>
      <c r="M56" s="58"/>
    </row>
    <row r="57" ht="15" customHeight="1" spans="1:13">
      <c r="A57" s="13" t="s">
        <v>70</v>
      </c>
      <c r="B57" s="14" t="s">
        <v>46</v>
      </c>
      <c r="C57" s="15" t="s">
        <v>71</v>
      </c>
      <c r="D57" s="16" t="s">
        <v>48</v>
      </c>
      <c r="E57" s="14" t="s">
        <v>49</v>
      </c>
      <c r="F57" s="32"/>
      <c r="G57" s="32"/>
      <c r="H57" s="32">
        <f>F14</f>
        <v>114787</v>
      </c>
      <c r="I57" s="30"/>
      <c r="J57" s="30"/>
      <c r="K57" s="36" t="s">
        <v>49</v>
      </c>
      <c r="L57" s="40">
        <f>H57/(F58*H58+J58)</f>
        <v>0.00423</v>
      </c>
      <c r="M57" s="56">
        <f>(L57+L59)/2</f>
        <v>0.0042</v>
      </c>
    </row>
    <row r="58" ht="16.5" customHeight="1" spans="1:13">
      <c r="A58" s="17"/>
      <c r="B58" s="18"/>
      <c r="C58" s="19" t="s">
        <v>51</v>
      </c>
      <c r="D58" s="20"/>
      <c r="E58" s="18"/>
      <c r="F58" s="30">
        <v>25</v>
      </c>
      <c r="G58" s="31" t="s">
        <v>50</v>
      </c>
      <c r="H58" s="32">
        <f>$F$20</f>
        <v>1039129</v>
      </c>
      <c r="I58" s="30" t="s">
        <v>52</v>
      </c>
      <c r="J58" s="32">
        <f>$F$18</f>
        <v>1187443</v>
      </c>
      <c r="K58" s="38"/>
      <c r="L58" s="41"/>
      <c r="M58" s="57"/>
    </row>
    <row r="59" ht="15" customHeight="1" spans="1:13">
      <c r="A59" s="17"/>
      <c r="B59" s="14" t="s">
        <v>53</v>
      </c>
      <c r="C59" s="15" t="s">
        <v>71</v>
      </c>
      <c r="D59" s="16" t="s">
        <v>48</v>
      </c>
      <c r="E59" s="14" t="s">
        <v>49</v>
      </c>
      <c r="F59" s="32"/>
      <c r="G59" s="32"/>
      <c r="H59" s="32">
        <f>J14</f>
        <v>114792</v>
      </c>
      <c r="I59" s="30"/>
      <c r="J59" s="30"/>
      <c r="K59" s="36" t="s">
        <v>49</v>
      </c>
      <c r="L59" s="40">
        <f>H59/(F60*H60+J60)</f>
        <v>0.00422</v>
      </c>
      <c r="M59" s="57"/>
    </row>
    <row r="60" ht="17.25" customHeight="1" spans="1:13">
      <c r="A60" s="21"/>
      <c r="B60" s="18"/>
      <c r="C60" s="19" t="s">
        <v>51</v>
      </c>
      <c r="D60" s="20"/>
      <c r="E60" s="18"/>
      <c r="F60" s="30">
        <v>25</v>
      </c>
      <c r="G60" s="31" t="s">
        <v>50</v>
      </c>
      <c r="H60" s="32">
        <f>$J$20</f>
        <v>1040166</v>
      </c>
      <c r="I60" s="30" t="s">
        <v>52</v>
      </c>
      <c r="J60" s="32">
        <f>$J$18</f>
        <v>1183639</v>
      </c>
      <c r="K60" s="38"/>
      <c r="L60" s="41"/>
      <c r="M60" s="58"/>
    </row>
    <row r="61" ht="15" customHeight="1" spans="1:13">
      <c r="A61" s="13" t="s">
        <v>72</v>
      </c>
      <c r="B61" s="14" t="s">
        <v>46</v>
      </c>
      <c r="C61" s="15" t="s">
        <v>73</v>
      </c>
      <c r="D61" s="16" t="s">
        <v>48</v>
      </c>
      <c r="E61" s="14" t="s">
        <v>49</v>
      </c>
      <c r="F61" s="32"/>
      <c r="G61" s="32"/>
      <c r="H61" s="32">
        <f>F15</f>
        <v>16087</v>
      </c>
      <c r="I61" s="30"/>
      <c r="J61" s="30"/>
      <c r="K61" s="36" t="s">
        <v>49</v>
      </c>
      <c r="L61" s="42">
        <f>H61/(F62*H62+J62)</f>
        <v>0.000592</v>
      </c>
      <c r="M61" s="59">
        <f>(L61+L63)/2</f>
        <v>0.00059</v>
      </c>
    </row>
    <row r="62" ht="17.25" customHeight="1" spans="1:13">
      <c r="A62" s="17"/>
      <c r="B62" s="18"/>
      <c r="C62" s="19" t="s">
        <v>51</v>
      </c>
      <c r="D62" s="20"/>
      <c r="E62" s="18"/>
      <c r="F62" s="30">
        <v>25</v>
      </c>
      <c r="G62" s="31" t="s">
        <v>50</v>
      </c>
      <c r="H62" s="32">
        <f>$F$20</f>
        <v>1039129</v>
      </c>
      <c r="I62" s="30" t="s">
        <v>52</v>
      </c>
      <c r="J62" s="32">
        <f>$F$18</f>
        <v>1187443</v>
      </c>
      <c r="K62" s="38"/>
      <c r="L62" s="43"/>
      <c r="M62" s="60"/>
    </row>
    <row r="63" ht="15" customHeight="1" spans="1:13">
      <c r="A63" s="17"/>
      <c r="B63" s="14" t="s">
        <v>53</v>
      </c>
      <c r="C63" s="15" t="s">
        <v>73</v>
      </c>
      <c r="D63" s="16" t="s">
        <v>48</v>
      </c>
      <c r="E63" s="14" t="s">
        <v>49</v>
      </c>
      <c r="F63" s="32"/>
      <c r="G63" s="32"/>
      <c r="H63" s="32">
        <f>J15</f>
        <v>16016</v>
      </c>
      <c r="I63" s="30"/>
      <c r="J63" s="30"/>
      <c r="K63" s="36" t="s">
        <v>49</v>
      </c>
      <c r="L63" s="42">
        <f>H63/(F64*H64+J64)</f>
        <v>0.000589</v>
      </c>
      <c r="M63" s="60"/>
    </row>
    <row r="64" ht="16.5" customHeight="1" spans="1:13">
      <c r="A64" s="21"/>
      <c r="B64" s="18"/>
      <c r="C64" s="19" t="s">
        <v>51</v>
      </c>
      <c r="D64" s="20"/>
      <c r="E64" s="18"/>
      <c r="F64" s="30">
        <v>25</v>
      </c>
      <c r="G64" s="31" t="s">
        <v>50</v>
      </c>
      <c r="H64" s="32">
        <f>$J$20</f>
        <v>1040166</v>
      </c>
      <c r="I64" s="30" t="s">
        <v>52</v>
      </c>
      <c r="J64" s="32">
        <f>$J$18</f>
        <v>1183639</v>
      </c>
      <c r="K64" s="38"/>
      <c r="L64" s="43"/>
      <c r="M64" s="61"/>
    </row>
    <row r="65" ht="15" customHeight="1" spans="1:13">
      <c r="A65" s="13" t="s">
        <v>74</v>
      </c>
      <c r="B65" s="14" t="s">
        <v>46</v>
      </c>
      <c r="C65" s="15" t="s">
        <v>75</v>
      </c>
      <c r="D65" s="16" t="s">
        <v>48</v>
      </c>
      <c r="E65" s="14" t="s">
        <v>49</v>
      </c>
      <c r="F65" s="32"/>
      <c r="G65" s="32"/>
      <c r="H65" s="32">
        <f>F16</f>
        <v>38334</v>
      </c>
      <c r="I65" s="30"/>
      <c r="J65" s="30"/>
      <c r="K65" s="36" t="s">
        <v>49</v>
      </c>
      <c r="L65" s="40">
        <f>H65/(F66*H66+J66)</f>
        <v>0.00141</v>
      </c>
      <c r="M65" s="56">
        <f>(L65+L67)/2</f>
        <v>0.0014</v>
      </c>
    </row>
    <row r="66" ht="17.25" customHeight="1" spans="1:13">
      <c r="A66" s="17"/>
      <c r="B66" s="18"/>
      <c r="C66" s="19" t="s">
        <v>51</v>
      </c>
      <c r="D66" s="20"/>
      <c r="E66" s="18"/>
      <c r="F66" s="30">
        <v>25</v>
      </c>
      <c r="G66" s="31" t="s">
        <v>50</v>
      </c>
      <c r="H66" s="32">
        <f>$F$20</f>
        <v>1039129</v>
      </c>
      <c r="I66" s="30" t="s">
        <v>52</v>
      </c>
      <c r="J66" s="32">
        <f>$F$18</f>
        <v>1187443</v>
      </c>
      <c r="K66" s="38"/>
      <c r="L66" s="41"/>
      <c r="M66" s="57"/>
    </row>
    <row r="67" ht="15" customHeight="1" spans="1:13">
      <c r="A67" s="17"/>
      <c r="B67" s="14" t="s">
        <v>53</v>
      </c>
      <c r="C67" s="15" t="s">
        <v>75</v>
      </c>
      <c r="D67" s="16" t="s">
        <v>48</v>
      </c>
      <c r="E67" s="14" t="s">
        <v>49</v>
      </c>
      <c r="F67" s="32"/>
      <c r="G67" s="32"/>
      <c r="H67" s="32">
        <f>J16</f>
        <v>38203</v>
      </c>
      <c r="I67" s="30"/>
      <c r="J67" s="30"/>
      <c r="K67" s="36" t="s">
        <v>49</v>
      </c>
      <c r="L67" s="40">
        <f>H67/(F68*H68+J68)</f>
        <v>0.00141</v>
      </c>
      <c r="M67" s="57"/>
    </row>
    <row r="68" ht="17.25" customHeight="1" spans="1:13">
      <c r="A68" s="21"/>
      <c r="B68" s="18"/>
      <c r="C68" s="19" t="s">
        <v>51</v>
      </c>
      <c r="D68" s="20"/>
      <c r="E68" s="18"/>
      <c r="F68" s="30">
        <v>25</v>
      </c>
      <c r="G68" s="31" t="s">
        <v>50</v>
      </c>
      <c r="H68" s="32">
        <f>$J$20</f>
        <v>1040166</v>
      </c>
      <c r="I68" s="30" t="s">
        <v>52</v>
      </c>
      <c r="J68" s="32">
        <f>$J$18</f>
        <v>1183639</v>
      </c>
      <c r="K68" s="38"/>
      <c r="L68" s="41"/>
      <c r="M68" s="58"/>
    </row>
    <row r="69" ht="15" customHeight="1" spans="1:13">
      <c r="A69" s="13" t="s">
        <v>76</v>
      </c>
      <c r="B69" s="14" t="s">
        <v>46</v>
      </c>
      <c r="C69" s="15" t="s">
        <v>77</v>
      </c>
      <c r="D69" s="16" t="s">
        <v>48</v>
      </c>
      <c r="E69" s="14" t="s">
        <v>49</v>
      </c>
      <c r="F69" s="32"/>
      <c r="G69" s="32"/>
      <c r="H69" s="32">
        <f>F17</f>
        <v>13075</v>
      </c>
      <c r="I69" s="30"/>
      <c r="J69" s="30"/>
      <c r="K69" s="36" t="s">
        <v>49</v>
      </c>
      <c r="L69" s="42">
        <f>H69/(F70*H70+J70)</f>
        <v>0.000481</v>
      </c>
      <c r="M69" s="59">
        <f>(L69+L71)/2</f>
        <v>0.00048</v>
      </c>
    </row>
    <row r="70" ht="16.5" customHeight="1" spans="1:13">
      <c r="A70" s="17"/>
      <c r="B70" s="18"/>
      <c r="C70" s="19" t="s">
        <v>51</v>
      </c>
      <c r="D70" s="20"/>
      <c r="E70" s="18"/>
      <c r="F70" s="30">
        <v>25</v>
      </c>
      <c r="G70" s="31" t="s">
        <v>50</v>
      </c>
      <c r="H70" s="32">
        <f>$F$20</f>
        <v>1039129</v>
      </c>
      <c r="I70" s="30" t="s">
        <v>52</v>
      </c>
      <c r="J70" s="32">
        <f>$F$18</f>
        <v>1187443</v>
      </c>
      <c r="K70" s="38"/>
      <c r="L70" s="43"/>
      <c r="M70" s="60"/>
    </row>
    <row r="71" ht="15" customHeight="1" spans="1:13">
      <c r="A71" s="17"/>
      <c r="B71" s="14" t="s">
        <v>53</v>
      </c>
      <c r="C71" s="15" t="s">
        <v>77</v>
      </c>
      <c r="D71" s="16" t="s">
        <v>48</v>
      </c>
      <c r="E71" s="14" t="s">
        <v>49</v>
      </c>
      <c r="F71" s="32"/>
      <c r="G71" s="32"/>
      <c r="H71" s="32">
        <f>J17</f>
        <v>13004</v>
      </c>
      <c r="I71" s="30"/>
      <c r="J71" s="30"/>
      <c r="K71" s="36" t="s">
        <v>49</v>
      </c>
      <c r="L71" s="42">
        <f>H71/(F72*H72+J72)</f>
        <v>0.000478</v>
      </c>
      <c r="M71" s="60"/>
    </row>
    <row r="72" ht="17.25" customHeight="1" spans="1:13">
      <c r="A72" s="21"/>
      <c r="B72" s="18"/>
      <c r="C72" s="19" t="s">
        <v>51</v>
      </c>
      <c r="D72" s="20"/>
      <c r="E72" s="18"/>
      <c r="F72" s="30">
        <v>25</v>
      </c>
      <c r="G72" s="31" t="s">
        <v>50</v>
      </c>
      <c r="H72" s="32">
        <f>$J$20</f>
        <v>1040166</v>
      </c>
      <c r="I72" s="30" t="s">
        <v>52</v>
      </c>
      <c r="J72" s="32">
        <f>$J$18</f>
        <v>1183639</v>
      </c>
      <c r="K72" s="38"/>
      <c r="L72" s="43"/>
      <c r="M72" s="61"/>
    </row>
    <row r="73" ht="15" customHeight="1" spans="1:13">
      <c r="A73" s="62" t="s">
        <v>78</v>
      </c>
      <c r="B73" s="14" t="s">
        <v>46</v>
      </c>
      <c r="C73" s="15" t="s">
        <v>79</v>
      </c>
      <c r="D73" s="16" t="s">
        <v>48</v>
      </c>
      <c r="E73" s="14" t="s">
        <v>49</v>
      </c>
      <c r="F73" s="32"/>
      <c r="G73" s="32"/>
      <c r="H73" s="32">
        <f>F19</f>
        <v>48257</v>
      </c>
      <c r="I73" s="30"/>
      <c r="J73" s="30"/>
      <c r="K73" s="36" t="s">
        <v>49</v>
      </c>
      <c r="L73" s="40">
        <f>H73/(F74*H74+J74)</f>
        <v>0.00178</v>
      </c>
      <c r="M73" s="56">
        <f>(L73+L75)/2</f>
        <v>0.0018</v>
      </c>
    </row>
    <row r="74" ht="16.5" customHeight="1" spans="1:13">
      <c r="A74" s="17"/>
      <c r="B74" s="18"/>
      <c r="C74" s="19" t="s">
        <v>51</v>
      </c>
      <c r="D74" s="20"/>
      <c r="E74" s="18"/>
      <c r="F74" s="30">
        <v>25</v>
      </c>
      <c r="G74" s="31" t="s">
        <v>50</v>
      </c>
      <c r="H74" s="32">
        <f>$F$20</f>
        <v>1039129</v>
      </c>
      <c r="I74" s="30" t="s">
        <v>52</v>
      </c>
      <c r="J74" s="32">
        <f>$F$18</f>
        <v>1187443</v>
      </c>
      <c r="K74" s="38"/>
      <c r="L74" s="41"/>
      <c r="M74" s="57"/>
    </row>
    <row r="75" ht="15" customHeight="1" spans="1:13">
      <c r="A75" s="17"/>
      <c r="B75" s="14" t="s">
        <v>53</v>
      </c>
      <c r="C75" s="15" t="s">
        <v>79</v>
      </c>
      <c r="D75" s="16" t="s">
        <v>48</v>
      </c>
      <c r="E75" s="14" t="s">
        <v>49</v>
      </c>
      <c r="F75" s="32"/>
      <c r="G75" s="32"/>
      <c r="H75" s="32">
        <f>J19</f>
        <v>48922</v>
      </c>
      <c r="I75" s="30"/>
      <c r="J75" s="30"/>
      <c r="K75" s="36" t="s">
        <v>49</v>
      </c>
      <c r="L75" s="40">
        <f>H75/(F76*H76+J76)</f>
        <v>0.0018</v>
      </c>
      <c r="M75" s="57"/>
    </row>
    <row r="76" ht="17.25" customHeight="1" spans="1:13">
      <c r="A76" s="21"/>
      <c r="B76" s="18"/>
      <c r="C76" s="19" t="s">
        <v>51</v>
      </c>
      <c r="D76" s="20"/>
      <c r="E76" s="18"/>
      <c r="F76" s="30">
        <v>25</v>
      </c>
      <c r="G76" s="31" t="s">
        <v>50</v>
      </c>
      <c r="H76" s="32">
        <f>$J$20</f>
        <v>1040166</v>
      </c>
      <c r="I76" s="30" t="s">
        <v>52</v>
      </c>
      <c r="J76" s="32">
        <f>$J$18</f>
        <v>1183639</v>
      </c>
      <c r="K76" s="38"/>
      <c r="L76" s="41"/>
      <c r="M76" s="58"/>
    </row>
    <row r="77" ht="15" customHeight="1" spans="1:13">
      <c r="A77" s="13" t="s">
        <v>80</v>
      </c>
      <c r="B77" s="14" t="s">
        <v>49</v>
      </c>
      <c r="C77" s="36" t="s">
        <v>81</v>
      </c>
      <c r="D77" s="16"/>
      <c r="E77" s="14" t="s">
        <v>49</v>
      </c>
      <c r="F77" s="36">
        <v>1</v>
      </c>
      <c r="G77" s="36"/>
      <c r="H77" s="36" t="s">
        <v>82</v>
      </c>
      <c r="I77" s="72">
        <f>M21</f>
        <v>0.956</v>
      </c>
      <c r="J77" s="36"/>
      <c r="K77" s="36" t="s">
        <v>49</v>
      </c>
      <c r="L77" s="72">
        <f>1-M21</f>
        <v>0.044</v>
      </c>
      <c r="M77" s="76"/>
    </row>
    <row r="78" ht="15" customHeight="1" spans="1:13">
      <c r="A78" s="17"/>
      <c r="B78" s="63"/>
      <c r="C78" s="64"/>
      <c r="D78" s="65"/>
      <c r="E78" s="63"/>
      <c r="F78" s="64"/>
      <c r="G78" s="64"/>
      <c r="H78" s="64"/>
      <c r="I78" s="64"/>
      <c r="J78" s="64"/>
      <c r="K78" s="64"/>
      <c r="L78" s="73"/>
      <c r="M78" s="77"/>
    </row>
    <row r="79" ht="15" customHeight="1" spans="1:13">
      <c r="A79" s="17"/>
      <c r="B79" s="63"/>
      <c r="C79" s="64"/>
      <c r="D79" s="65"/>
      <c r="E79" s="63"/>
      <c r="F79" s="64"/>
      <c r="G79" s="64"/>
      <c r="H79" s="64"/>
      <c r="I79" s="64"/>
      <c r="J79" s="64"/>
      <c r="K79" s="64"/>
      <c r="L79" s="73"/>
      <c r="M79" s="77"/>
    </row>
    <row r="80" ht="15" customHeight="1" spans="1:13">
      <c r="A80" s="21"/>
      <c r="B80" s="18"/>
      <c r="C80" s="38"/>
      <c r="D80" s="20"/>
      <c r="E80" s="18"/>
      <c r="F80" s="38"/>
      <c r="G80" s="38"/>
      <c r="H80" s="38"/>
      <c r="I80" s="38"/>
      <c r="J80" s="38"/>
      <c r="K80" s="38"/>
      <c r="L80" s="74"/>
      <c r="M80" s="78"/>
    </row>
    <row r="81" ht="21.75" customHeight="1" spans="1:13">
      <c r="A81" s="66" t="s">
        <v>83</v>
      </c>
      <c r="B81" s="66"/>
      <c r="C81" s="66"/>
      <c r="D81" s="66"/>
      <c r="E81" s="66"/>
      <c r="F81" s="66"/>
      <c r="G81" s="69" t="s">
        <v>84</v>
      </c>
      <c r="H81" s="69"/>
      <c r="I81" s="69"/>
      <c r="J81" s="69"/>
      <c r="K81" s="69"/>
      <c r="L81" s="69"/>
      <c r="M81" s="69"/>
    </row>
    <row r="82" spans="1:13">
      <c r="A82" s="67"/>
      <c r="B82" s="67"/>
      <c r="C82" s="67"/>
      <c r="D82" s="68"/>
      <c r="E82" s="67"/>
      <c r="F82" s="70"/>
      <c r="G82" s="67"/>
      <c r="H82" s="71"/>
      <c r="I82" s="67"/>
      <c r="J82" s="75"/>
      <c r="K82" s="67"/>
      <c r="L82" s="71"/>
      <c r="M82" s="67"/>
    </row>
  </sheetData>
  <sheetProtection password="E87F" sheet="1" objects="1"/>
  <protectedRanges>
    <protectedRange sqref="B2 F4:M17 F19:M20" name="区域1"/>
  </protectedRanges>
  <mergeCells count="299">
    <mergeCell ref="A1:M1"/>
    <mergeCell ref="O1:R1"/>
    <mergeCell ref="B2:M2"/>
    <mergeCell ref="O2:P2"/>
    <mergeCell ref="B3:E3"/>
    <mergeCell ref="F3:I3"/>
    <mergeCell ref="J3:M3"/>
    <mergeCell ref="B4:E4"/>
    <mergeCell ref="F4:I4"/>
    <mergeCell ref="J4:M4"/>
    <mergeCell ref="B5:E5"/>
    <mergeCell ref="F5:I5"/>
    <mergeCell ref="J5:M5"/>
    <mergeCell ref="B6:E6"/>
    <mergeCell ref="F6:I6"/>
    <mergeCell ref="J6:M6"/>
    <mergeCell ref="B7:E7"/>
    <mergeCell ref="F7:I7"/>
    <mergeCell ref="J7:M7"/>
    <mergeCell ref="B8:E8"/>
    <mergeCell ref="F8:I8"/>
    <mergeCell ref="J8:M8"/>
    <mergeCell ref="B9:E9"/>
    <mergeCell ref="F9:I9"/>
    <mergeCell ref="J9:M9"/>
    <mergeCell ref="B10:E10"/>
    <mergeCell ref="F10:I10"/>
    <mergeCell ref="J10:M10"/>
    <mergeCell ref="B11:E11"/>
    <mergeCell ref="F11:I11"/>
    <mergeCell ref="J11:M11"/>
    <mergeCell ref="B12:E12"/>
    <mergeCell ref="F12:I12"/>
    <mergeCell ref="J12:M12"/>
    <mergeCell ref="B13:E13"/>
    <mergeCell ref="F13:I13"/>
    <mergeCell ref="J13:M13"/>
    <mergeCell ref="B14:E14"/>
    <mergeCell ref="F14:I14"/>
    <mergeCell ref="J14:M14"/>
    <mergeCell ref="B15:E15"/>
    <mergeCell ref="F15:I15"/>
    <mergeCell ref="J15:M15"/>
    <mergeCell ref="B16:E16"/>
    <mergeCell ref="F16:I16"/>
    <mergeCell ref="J16:M16"/>
    <mergeCell ref="B17:E17"/>
    <mergeCell ref="F17:I17"/>
    <mergeCell ref="J17:M17"/>
    <mergeCell ref="B18:E18"/>
    <mergeCell ref="F18:I18"/>
    <mergeCell ref="J18:M18"/>
    <mergeCell ref="B19:E19"/>
    <mergeCell ref="F19:I19"/>
    <mergeCell ref="J19:M19"/>
    <mergeCell ref="B20:E20"/>
    <mergeCell ref="F20:I20"/>
    <mergeCell ref="J20:M20"/>
    <mergeCell ref="F21:G21"/>
    <mergeCell ref="I21:J21"/>
    <mergeCell ref="F23:G23"/>
    <mergeCell ref="I23:J23"/>
    <mergeCell ref="F25:G25"/>
    <mergeCell ref="I25:J25"/>
    <mergeCell ref="F27:G27"/>
    <mergeCell ref="I27:J27"/>
    <mergeCell ref="F29:G29"/>
    <mergeCell ref="I29:J29"/>
    <mergeCell ref="F31:G31"/>
    <mergeCell ref="I31:J31"/>
    <mergeCell ref="F33:G33"/>
    <mergeCell ref="I33:J33"/>
    <mergeCell ref="F35:G35"/>
    <mergeCell ref="I35:J35"/>
    <mergeCell ref="F37:G37"/>
    <mergeCell ref="I37:J37"/>
    <mergeCell ref="F39:G39"/>
    <mergeCell ref="I39:J39"/>
    <mergeCell ref="F41:G41"/>
    <mergeCell ref="I41:J41"/>
    <mergeCell ref="F43:G43"/>
    <mergeCell ref="I43:J43"/>
    <mergeCell ref="F45:G45"/>
    <mergeCell ref="I45:J45"/>
    <mergeCell ref="F47:G47"/>
    <mergeCell ref="I47:J47"/>
    <mergeCell ref="F49:G49"/>
    <mergeCell ref="I49:J49"/>
    <mergeCell ref="F51:G51"/>
    <mergeCell ref="I51:J51"/>
    <mergeCell ref="F53:G53"/>
    <mergeCell ref="I53:J53"/>
    <mergeCell ref="F55:G55"/>
    <mergeCell ref="I55:J55"/>
    <mergeCell ref="F57:G57"/>
    <mergeCell ref="I57:J57"/>
    <mergeCell ref="F59:G59"/>
    <mergeCell ref="I59:J59"/>
    <mergeCell ref="F61:G61"/>
    <mergeCell ref="I61:J61"/>
    <mergeCell ref="F63:G63"/>
    <mergeCell ref="I63:J63"/>
    <mergeCell ref="F65:G65"/>
    <mergeCell ref="I65:J65"/>
    <mergeCell ref="F67:G67"/>
    <mergeCell ref="I67:J67"/>
    <mergeCell ref="F69:G69"/>
    <mergeCell ref="I69:J69"/>
    <mergeCell ref="F71:G71"/>
    <mergeCell ref="I71:J71"/>
    <mergeCell ref="F73:G73"/>
    <mergeCell ref="I73:J73"/>
    <mergeCell ref="F75:G75"/>
    <mergeCell ref="I75:J75"/>
    <mergeCell ref="A81:F81"/>
    <mergeCell ref="G81:M81"/>
    <mergeCell ref="A4:A19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8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80"/>
    <mergeCell ref="H77:H8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8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M21:M24"/>
    <mergeCell ref="M25:M28"/>
    <mergeCell ref="M29:M32"/>
    <mergeCell ref="M33:M36"/>
    <mergeCell ref="M37:M40"/>
    <mergeCell ref="M41:M44"/>
    <mergeCell ref="M45:M48"/>
    <mergeCell ref="M49:M52"/>
    <mergeCell ref="M53:M56"/>
    <mergeCell ref="M57:M60"/>
    <mergeCell ref="M61:M64"/>
    <mergeCell ref="M65:M68"/>
    <mergeCell ref="M69:M72"/>
    <mergeCell ref="M73:M76"/>
    <mergeCell ref="O3:O4"/>
    <mergeCell ref="O17:O18"/>
    <mergeCell ref="P3:P4"/>
    <mergeCell ref="P17:P18"/>
    <mergeCell ref="O19:R22"/>
    <mergeCell ref="C77:D80"/>
    <mergeCell ref="I77:J80"/>
    <mergeCell ref="F77:G80"/>
    <mergeCell ref="L77:M80"/>
  </mergeCells>
  <conditionalFormatting sqref="M21:M24">
    <cfRule type="cellIs" dxfId="0" priority="27" stopIfTrue="1" operator="lessThan">
      <formula>$P$3</formula>
    </cfRule>
    <cfRule type="cellIs" dxfId="1" priority="28" operator="lessThan">
      <formula>$Q$3</formula>
    </cfRule>
  </conditionalFormatting>
  <conditionalFormatting sqref="M25:M28">
    <cfRule type="cellIs" dxfId="0" priority="25" stopIfTrue="1" operator="greaterThan">
      <formula>$P$9</formula>
    </cfRule>
    <cfRule type="cellIs" dxfId="1" priority="26" operator="greaterThan">
      <formula>$Q$9</formula>
    </cfRule>
  </conditionalFormatting>
  <conditionalFormatting sqref="M29:M32">
    <cfRule type="cellIs" dxfId="0" priority="23" stopIfTrue="1" operator="greaterThan">
      <formula>$P$10</formula>
    </cfRule>
    <cfRule type="cellIs" dxfId="1" priority="24" operator="greaterThan">
      <formula>$Q$10</formula>
    </cfRule>
  </conditionalFormatting>
  <conditionalFormatting sqref="M33:M36">
    <cfRule type="cellIs" dxfId="0" priority="21" stopIfTrue="1" operator="greaterThan">
      <formula>$P$11</formula>
    </cfRule>
    <cfRule type="cellIs" dxfId="1" priority="22" operator="greaterThan">
      <formula>$Q$11</formula>
    </cfRule>
  </conditionalFormatting>
  <conditionalFormatting sqref="M37:M40">
    <cfRule type="cellIs" dxfId="0" priority="19" stopIfTrue="1" operator="greaterThan">
      <formula>$P$12</formula>
    </cfRule>
    <cfRule type="cellIs" dxfId="1" priority="20" operator="greaterThan">
      <formula>$Q$12</formula>
    </cfRule>
  </conditionalFormatting>
  <conditionalFormatting sqref="M45:M48">
    <cfRule type="cellIs" dxfId="0" priority="15" stopIfTrue="1" operator="greaterThan">
      <formula>$P$5</formula>
    </cfRule>
    <cfRule type="cellIs" dxfId="1" priority="16" operator="greaterThan">
      <formula>$Q$5</formula>
    </cfRule>
  </conditionalFormatting>
  <conditionalFormatting sqref="M49:M52">
    <cfRule type="cellIs" dxfId="0" priority="13" stopIfTrue="1" operator="greaterThan">
      <formula>$P$13</formula>
    </cfRule>
    <cfRule type="cellIs" dxfId="1" priority="14" operator="greaterThan">
      <formula>$Q$13</formula>
    </cfRule>
  </conditionalFormatting>
  <conditionalFormatting sqref="M53:M56">
    <cfRule type="cellIs" dxfId="0" priority="11" stopIfTrue="1" operator="greaterThan">
      <formula>$P$14</formula>
    </cfRule>
    <cfRule type="cellIs" dxfId="1" priority="12" operator="greaterThan">
      <formula>$Q$14</formula>
    </cfRule>
  </conditionalFormatting>
  <conditionalFormatting sqref="M57:M60">
    <cfRule type="cellIs" dxfId="0" priority="9" stopIfTrue="1" operator="greaterThan">
      <formula>$P$15</formula>
    </cfRule>
    <cfRule type="cellIs" dxfId="1" priority="10" operator="greaterThan">
      <formula>$Q$15</formula>
    </cfRule>
  </conditionalFormatting>
  <conditionalFormatting sqref="M65:M68">
    <cfRule type="cellIs" dxfId="0" priority="7" stopIfTrue="1" operator="greaterThan">
      <formula>$P$8</formula>
    </cfRule>
    <cfRule type="cellIs" dxfId="1" priority="8" operator="greaterThan">
      <formula>$Q$8</formula>
    </cfRule>
  </conditionalFormatting>
  <conditionalFormatting sqref="M69:M72">
    <cfRule type="cellIs" dxfId="0" priority="5" stopIfTrue="1" operator="greaterThan">
      <formula>$P$7</formula>
    </cfRule>
    <cfRule type="cellIs" dxfId="1" priority="6" operator="greaterThan">
      <formula>$Q$7</formula>
    </cfRule>
  </conditionalFormatting>
  <conditionalFormatting sqref="M73:M76">
    <cfRule type="cellIs" dxfId="0" priority="3" stopIfTrue="1" operator="greaterThan">
      <formula>$P$17</formula>
    </cfRule>
    <cfRule type="cellIs" dxfId="1" priority="4" operator="greaterThan">
      <formula>$Q$18</formula>
    </cfRule>
  </conditionalFormatting>
  <conditionalFormatting sqref="M41 M61">
    <cfRule type="expression" dxfId="0" priority="17" stopIfTrue="1">
      <formula>$M$41+$M$61&gt;$P$6</formula>
    </cfRule>
    <cfRule type="expression" dxfId="1" priority="18">
      <formula>$M$41+$M$61&gt;$Q$6</formula>
    </cfRule>
  </conditionalFormatting>
  <conditionalFormatting sqref="L77:M80">
    <cfRule type="cellIs" dxfId="0" priority="1" stopIfTrue="1" operator="greaterThan">
      <formula>$P$17</formula>
    </cfRule>
    <cfRule type="cellIs" dxfId="1" priority="2" operator="greaterThan">
      <formula>$Q$18</formula>
    </cfRule>
  </conditionalFormatting>
  <pageMargins left="0.786805555555556" right="0.826388888888889" top="0.786805555555556" bottom="0.156944444444444" header="0.511805555555556" footer="0.511805555555556"/>
  <pageSetup paperSize="9" scale="53" fitToHeight="0" orientation="portrait" horizontalDpi="600" verticalDpi="1200"/>
  <headerFooter alignWithMargins="0" scaleWithDoc="0">
    <oddHeader>&amp;L生效时间：2019年03月13日&amp;R打印地址：此电脑/本地磁盘（C：）/数据共享/计算表/仪器组计算表/盐酸万古霉素电子计算表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盐酸万古霉素冻干粉USP计算表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张银华</dc:creator>
  <cp:lastModifiedBy>田螺</cp:lastModifiedBy>
  <cp:revision>1</cp:revision>
  <dcterms:created xsi:type="dcterms:W3CDTF">1996-12-17T17:32:42Z</dcterms:created>
  <cp:lastPrinted>2024-03-13T19:42:30Z</cp:lastPrinted>
  <dcterms:modified xsi:type="dcterms:W3CDTF">2026-07-02T15:56:59Z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F27171BFB450A457CB19466A00BA1F8D_43</vt:lpwstr>
  </property>
</Properties>
</file>